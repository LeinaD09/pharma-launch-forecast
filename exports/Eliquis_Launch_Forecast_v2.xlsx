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Originator Forecast" sheetId="3" r:id="rId3"/>
    <sheet name="Generika 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<sst xmlns="http://schemas.openxmlformats.org/spreadsheetml/2006/main" count="563" uniqueCount="420">
  <si>
    <t>Eliquis (Apixaban) - Launch Forecast Modell</t>
  </si>
  <si>
    <t>Eingabe-Parameter (gelbe Zellen sind editierbar)</t>
  </si>
  <si>
    <t>1. MARKTDEFINITION</t>
  </si>
  <si>
    <t>Markt</t>
  </si>
  <si>
    <t>Orale Antikoagulantien (NOAK/DOAK)</t>
  </si>
  <si>
    <t>Therapiegebiet / ATC-Klasse</t>
  </si>
  <si>
    <t>Geographie</t>
  </si>
  <si>
    <t>Deutschland</t>
  </si>
  <si>
    <t>Zielmarkt</t>
  </si>
  <si>
    <t>LOE-Datum (Patentablauf)</t>
  </si>
  <si>
    <t>Mai 2026</t>
  </si>
  <si>
    <t>Loss of Exclusivity Eliquis</t>
  </si>
  <si>
    <t>Gesamtmarkt TRx/Monat</t>
  </si>
  <si>
    <t>Monatliche Verordnungen im NOAK-Segment</t>
  </si>
  <si>
    <t>Gesamtmarkt Umsatz/Monat (EUR)</t>
  </si>
  <si>
    <t>Monatlicher Marktumsatz</t>
  </si>
  <si>
    <t>Jahrl. Marktwachstum</t>
  </si>
  <si>
    <t>Organisches Wachstum des NOAK-Segments</t>
  </si>
  <si>
    <t>Forecast-Horizont (Monate)</t>
  </si>
  <si>
    <t>Anzahl Monate nach LOE</t>
  </si>
  <si>
    <t>2. ORIGINATOR-PARAMETER (Revenue at Risk)</t>
  </si>
  <si>
    <t>Originator</t>
  </si>
  <si>
    <t>Eliquis (BMS / Pfizer)</t>
  </si>
  <si>
    <t>Produktname &amp; Hersteller</t>
  </si>
  <si>
    <t>Aktueller Marktanteil (TRx)</t>
  </si>
  <si>
    <t>Marktanteil vor LOE</t>
  </si>
  <si>
    <t>Aktueller Preis/TRx (EUR)</t>
  </si>
  <si>
    <t>Monatliche Therapiekosten</t>
  </si>
  <si>
    <t>Preis-Reduktion nach LOE</t>
  </si>
  <si>
    <t>Erwartete Preissenkung durch Originator</t>
  </si>
  <si>
    <t>Erosions-Geschwindigkeit</t>
  </si>
  <si>
    <t>1.0=Normal, &gt;1=schneller, &lt;1=langsamer</t>
  </si>
  <si>
    <t>Boden-Marktanteil</t>
  </si>
  <si>
    <t>Minimaler Anteil (Markentreue, Arzt-Praeferenz)</t>
  </si>
  <si>
    <t>Monate bis Boden</t>
  </si>
  <si>
    <t>Monate bis Erosion Plateau erreicht</t>
  </si>
  <si>
    <t>Authorized Generic Strategie</t>
  </si>
  <si>
    <t>Authorized Generic launchen?</t>
  </si>
  <si>
    <t>NEIN</t>
  </si>
  <si>
    <t>JA oder NEIN - Eigenes Generikum unter Zweitmarke?</t>
  </si>
  <si>
    <t>AG Anteil am Generika-Segment (initial)</t>
  </si>
  <si>
    <t>Initialer Anteil der Generika-Verordnungen fuer AG</t>
  </si>
  <si>
    <t>AG Anteil-Erosion Speed</t>
  </si>
  <si>
    <t>0=statisch, 1=moderate Erosion, 2=schnelle Erosion</t>
  </si>
  <si>
    <t>AG Preis-Discount vs. Originator (initial)</t>
  </si>
  <si>
    <t>Initialer Preisabschlag des AG</t>
  </si>
  <si>
    <t>AG Discount-Zunahme Speed</t>
  </si>
  <si>
    <t>0=statisch, 1=moderater Preisverfall, 2=schneller Preisverfall</t>
  </si>
  <si>
    <t>3. GENERIKA-PARAMETER (Market Opportunity)</t>
  </si>
  <si>
    <t>Markt-Kaskade: NOAK -&gt; Apixaban (42%) -&gt; Generika-Segment (55%) -&gt; Mein Anteil (20%)</t>
  </si>
  <si>
    <t>Apixaban-Marktanteil am NOAK-Markt</t>
  </si>
  <si>
    <t>Anteil von Apixaban (Eliquis) am NOAK-Gesamtmarkt</t>
  </si>
  <si>
    <t>Generika-Segment Peak-Anteil</t>
  </si>
  <si>
    <t>Anteil der Apixaban-Verordnungen, die generisch werden</t>
  </si>
  <si>
    <t>Monate bis Generika-Segment Peak</t>
  </si>
  <si>
    <t>Monate nach LOE bis Generika-Segment seinen Peak erreicht</t>
  </si>
  <si>
    <t>Launch-Zeitpunkt (Monate nach LOE)</t>
  </si>
  <si>
    <t>0 = Day-1 Launch</t>
  </si>
  <si>
    <t>Preis-Discount vs. Originator</t>
  </si>
  <si>
    <t>Preisabschlag zum Originator-Preis</t>
  </si>
  <si>
    <t>Mein Anteil am Generika-Segment</t>
  </si>
  <si>
    <t>Mein Anteil an allen Apixaban-Generika (nicht am NOAK-Gesamtmarkt)</t>
  </si>
  <si>
    <t>Monate bis Peak Share</t>
  </si>
  <si>
    <t>Monate bis mein Anteil am Generika-Segment den Peak erreicht</t>
  </si>
  <si>
    <t>4. AUT-IDEM / SUBSTITUTION</t>
  </si>
  <si>
    <t>Aut idem = Apotheke darf/muss wirkstoffgleiches Generikum abgeben (SGB V Par.129)</t>
  </si>
  <si>
    <t>Aut-idem aktiv?</t>
  </si>
  <si>
    <t>JA</t>
  </si>
  <si>
    <t>JA oder NEIN - Wird Festbetragsgruppe gebildet?</t>
  </si>
  <si>
    <t>Anlaufzeit Festbetrag (Monate nach LOE)</t>
  </si>
  <si>
    <t>G-BA Festbetragsentscheid dauert ca. 3-6 Monate</t>
  </si>
  <si>
    <t>Volle Aut-idem-Quote nach (Monate)</t>
  </si>
  <si>
    <t>Monate bis Apotheken voll substituieren</t>
  </si>
  <si>
    <t>Peak Aut-idem-Quote</t>
  </si>
  <si>
    <t>Max. Anteil der Rx, die substituiert werden (Nicht-Tender-Rest)</t>
  </si>
  <si>
    <t>Aut-idem Wirkungskette</t>
  </si>
  <si>
    <t>1. LOE: Patent laeuft ab, Generika kommen auf den Markt</t>
  </si>
  <si>
    <t>2. G-BA bildet Festbetragsgruppe (Dauer: 3-6 Monate nach LOE)</t>
  </si>
  <si>
    <t>3. Festbetrag wird festgesetzt -&gt; Originator-Preis ggf. ueber Festbetrag</t>
  </si>
  <si>
    <t>4. Apotheke MUSS guenstigstes Generikum abgeben (SGB V Par.129)</t>
  </si>
  <si>
    <t>5. Arzt kann aut-idem-Substitution ausschliessen (Kreuz auf Rezept)</t>
  </si>
  <si>
    <t>6. Patient erhaelt Generikum, es sei denn Arzt hat es ausgeschlossen</t>
  </si>
  <si>
    <t>5. MEINE RABATTVERTRAEGE</t>
  </si>
  <si>
    <t>Deterministisches Modell: Pro Kasse gewonnen/verloren. Risiko als Szenario-Band (Bear/Base/Bull).</t>
  </si>
  <si>
    <t>Rabattvertraege anstreben?</t>
  </si>
  <si>
    <t>JA oder NEIN</t>
  </si>
  <si>
    <t>Anlaufzeit Tender (Monate nach Launch)</t>
  </si>
  <si>
    <t>Bis erste Ausschreibung gewonnen</t>
  </si>
  <si>
    <t>Mein Anteil bei Mehrfachvergabe</t>
  </si>
  <si>
    <t>z.B. 50% bei 2 Hauptpartnern pro Kasse</t>
  </si>
  <si>
    <t>Kassen - Rabattvertrag gewonnen/verloren (Base Case)</t>
  </si>
  <si>
    <t>Krankenkasse</t>
  </si>
  <si>
    <t>Versicherte
(Mio.)</t>
  </si>
  <si>
    <t>Marktanteil
GKV</t>
  </si>
  <si>
    <t>Gewonnen?
(Base)</t>
  </si>
  <si>
    <t>Status</t>
  </si>
  <si>
    <t>TK (Techniker)</t>
  </si>
  <si>
    <t>Ziel</t>
  </si>
  <si>
    <t>BARMER</t>
  </si>
  <si>
    <t>DAK-Gesundheit</t>
  </si>
  <si>
    <t>AOK Bayern</t>
  </si>
  <si>
    <t>Optional</t>
  </si>
  <si>
    <t>AOK Baden-Wuerttemberg</t>
  </si>
  <si>
    <t>Restl. Kassen</t>
  </si>
  <si>
    <t>Nachrangig</t>
  </si>
  <si>
    <t>Rabattvertrag-Mechanik</t>
  </si>
  <si>
    <t>1. Krankenkasse schreibt Wirkstoff aus (Open-House oder Mehrfachvergabe)</t>
  </si>
  <si>
    <t>2. Generika-Anbieter geben Angebot ab (Preis pro DDD/Packung)</t>
  </si>
  <si>
    <t>3. Zuschlag: Mehrere Anbieter erhalten Vertrag (Versorgungssicherheit)</t>
  </si>
  <si>
    <t>4. Apotheke MUSS Produkt eines Vertragspartners abgeben (Par.130a SGB V)</t>
  </si>
  <si>
    <t>5. Aut-idem-Ausschluss durch Arzt hat Vorrang und verhindert Tender-Substitution</t>
  </si>
  <si>
    <t>6. Modellierung: Deterministisch (gewonnen/verloren) + Szenario-Band fuer Risiko</t>
  </si>
  <si>
    <t>6. KOSTEN &amp; PROFITABILITAET (Generika)</t>
  </si>
  <si>
    <t>COGS (% vom Umsatz)</t>
  </si>
  <si>
    <t>Herstellkosten als Anteil am Nettoumsatz</t>
  </si>
  <si>
    <t>Monatl. Vertriebskosten (EUR)</t>
  </si>
  <si>
    <t>Aussendienst, KAM, Marketing</t>
  </si>
  <si>
    <t>Launch-Investition einmalig (EUR)</t>
  </si>
  <si>
    <t>Zulassung, Listings, Launch-Marketing</t>
  </si>
  <si>
    <t>Monatl. Fixkosten (EUR)</t>
  </si>
  <si>
    <t>Regulatory, QA, Overhead-Anteil</t>
  </si>
  <si>
    <t>7. SZENARIO-DEFINITIONEN</t>
  </si>
  <si>
    <t>Parameter</t>
  </si>
  <si>
    <t>Bear Case</t>
  </si>
  <si>
    <t>Base Case</t>
  </si>
  <si>
    <t>Bull Case</t>
  </si>
  <si>
    <t>Originator Preisreduktion</t>
  </si>
  <si>
    <t>Originator Boden-Share</t>
  </si>
  <si>
    <t>Aut-idem Peak-Quote</t>
  </si>
  <si>
    <t>Generika-Segment Peak Share</t>
  </si>
  <si>
    <t>Mein Preis-Discount</t>
  </si>
  <si>
    <t>Marktwachstum p.a.</t>
  </si>
  <si>
    <t>Tender</t>
  </si>
  <si>
    <t>Kein Tender</t>
  </si>
  <si>
    <t>User-Auswahl</t>
  </si>
  <si>
    <t>Alle Kassen</t>
  </si>
  <si>
    <t>Wettbewerbslandschaft - NOAK/DOAK Deutschland</t>
  </si>
  <si>
    <t>Produkt</t>
  </si>
  <si>
    <t>Hersteller</t>
  </si>
  <si>
    <t>Marktanteil (TRx)</t>
  </si>
  <si>
    <t>Preis/TRx (EUR)</t>
  </si>
  <si>
    <t>Umsatz/Monat (EUR)</t>
  </si>
  <si>
    <t>Patent</t>
  </si>
  <si>
    <t>Eliquis (Apixaban)</t>
  </si>
  <si>
    <t>BMS / Pfizer</t>
  </si>
  <si>
    <t>Xarelto (Rivaroxaban)</t>
  </si>
  <si>
    <t>Bayer</t>
  </si>
  <si>
    <t>Apr 2024</t>
  </si>
  <si>
    <t>Lixiana (Edoxaban)</t>
  </si>
  <si>
    <t>Daiichi Sankyo</t>
  </si>
  <si>
    <t>2031</t>
  </si>
  <si>
    <t>Pradaxa (Dabigatran)</t>
  </si>
  <si>
    <t>Boehringer</t>
  </si>
  <si>
    <t>2025</t>
  </si>
  <si>
    <t>GESAMT</t>
  </si>
  <si>
    <t>Markt-Kontext</t>
  </si>
  <si>
    <t>Indikation</t>
  </si>
  <si>
    <t>Nicht-valvulaeres Vorhofflimmern (NVAF), VTE-Prophylaxe &amp; Therapie</t>
  </si>
  <si>
    <t>Patienten in DE</t>
  </si>
  <si>
    <t>~1.8 Mio. unter NOAK-Therapie</t>
  </si>
  <si>
    <t>Marktdynamik</t>
  </si>
  <si>
    <t>Reifer Markt, Wachstum durch Bevoelkerungsalterung</t>
  </si>
  <si>
    <t>Regulatorik</t>
  </si>
  <si>
    <t>Festbetrag wird nach LOE erwartet (G-BA)</t>
  </si>
  <si>
    <t>Substitution</t>
  </si>
  <si>
    <t>Aut-idem-faehig nach Aufnahme in Festbetragsgruppe</t>
  </si>
  <si>
    <t>Analoga</t>
  </si>
  <si>
    <t>Clopidogrel LOE 2008: ~70% Generika-Share nach 24M</t>
  </si>
  <si>
    <t>Originator Perspektive - Revenue at Risk (Base Case)</t>
  </si>
  <si>
    <t>Umsatz vor LOE (p.a.)</t>
  </si>
  <si>
    <t>Umsatz Jahr 1 nach LOE</t>
  </si>
  <si>
    <t>Revenue at Risk (5J)</t>
  </si>
  <si>
    <t>Rueckgang Jahr 1</t>
  </si>
  <si>
    <t>Monat</t>
  </si>
  <si>
    <t>Monate
nach LOE</t>
  </si>
  <si>
    <t>Gesamt-
markt TRx</t>
  </si>
  <si>
    <t>Originator
TRx</t>
  </si>
  <si>
    <t>Originator
Marktanteil</t>
  </si>
  <si>
    <t>Aut-idem
Quote</t>
  </si>
  <si>
    <t>Preis/TRx
(EUR)</t>
  </si>
  <si>
    <t>Originator
Umsatz (EUR)</t>
  </si>
  <si>
    <t>Generika
Segment TRx</t>
  </si>
  <si>
    <t>Revenue
at Risk (EUR)</t>
  </si>
  <si>
    <t>Kum. Revenue
at Risk (EUR)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</si>
  <si>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</si>
  <si>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</si>
  <si>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</si>
  <si>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</si>
  <si>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</si>
  <si>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</si>
  <si>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</si>
  <si>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</si>
  <si>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</si>
  <si>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</si>
  <si>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</si>
  <si>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</si>
  <si>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</si>
  <si>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</si>
  <si>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</si>
  <si>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</si>
  <si>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</si>
  <si>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</si>
  <si>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</si>
  <si>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</si>
  <si>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</si>
  <si>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</si>
  <si>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</si>
  <si>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</si>
  <si>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</si>
  <si>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</si>
  <si>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</si>
  <si>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</si>
  <si>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</si>
  <si>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</si>
  <si>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</si>
  <si>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</si>
  <si>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</si>
  <si>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</si>
  <si>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</si>
  <si>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</si>
  <si>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</si>
  <si>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</si>
  <si>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</si>
  <si>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</si>
  <si>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</si>
  <si>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</si>
  <si>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</si>
  <si>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</si>
  <si>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</si>
  <si>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</si>
  <si>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</si>
  <si>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</si>
  <si>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</si>
  <si>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</si>
  <si>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</si>
  <si>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</si>
  <si>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</si>
  <si>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</si>
  <si>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</si>
  <si>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</si>
  <si>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</si>
  <si>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</si>
  <si>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</si>
  <si>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</si>
  <si>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</si>
  <si>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</si>
  <si>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</si>
  <si>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</si>
  <si>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</si>
  <si>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</si>
  <si>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</si>
  <si>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</si>
  <si>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</si>
  <si>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</si>
  <si>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</si>
  <si>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</si>
  <si>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Generika Perspektive - Market Opportunity (Base Case)</t>
  </si>
  <si>
    <t>Umsatz Jahr 1</t>
  </si>
  <si>
    <t>Umsatz 5J kumuliert</t>
  </si>
  <si>
    <t>Gewinn 5J kumuliert</t>
  </si>
  <si>
    <t>Peak Marktanteil</t>
  </si>
  <si>
    <t>Break-Even</t>
  </si>
  <si>
    <t>Monat 8</t>
  </si>
  <si>
    <t>Volumen-Dekomposition (5 Jahre)</t>
  </si>
  <si>
    <t>Organisch</t>
  </si>
  <si>
    <t>Aut-idem</t>
  </si>
  <si>
    <t>Organisch
TRx</t>
  </si>
  <si>
    <t>Aut-idem
TRx</t>
  </si>
  <si>
    <t>Tender
TRx</t>
  </si>
  <si>
    <t>Gesamt
TRx</t>
  </si>
  <si>
    <t>Mein
Marktanteil</t>
  </si>
  <si>
    <t>Umsatz
(EUR)</t>
  </si>
  <si>
    <t>COGS
(EUR)</t>
  </si>
  <si>
    <t>Oper. Gewinn
(EUR)</t>
  </si>
  <si>
    <t>Kum. Umsatz
(EUR)</t>
  </si>
  <si>
    <t>Kum. Gewinn
(EUR)</t>
  </si>
  <si>
    <t>Executive Summary - Eliquis Generic Entry 2026</t>
  </si>
  <si>
    <t>Originator-Perspektive - Szenario-Vergleich</t>
  </si>
  <si>
    <t>Originator Umsatz Jahr 1 nach LOE</t>
  </si>
  <si>
    <t>Revenue at Risk (5J kumuliert)</t>
  </si>
  <si>
    <t>Umsatzrueckgang Jahr 1</t>
  </si>
  <si>
    <t>Marktanteil nach 12 Monaten</t>
  </si>
  <si>
    <t>Marktanteil nach 24 Monaten</t>
  </si>
  <si>
    <t>Generika-Perspektive - Szenario-Vergleich</t>
  </si>
  <si>
    <t>Volumen aus Aut-idem (%)</t>
  </si>
  <si>
    <t>Volumen aus Tender (%)</t>
  </si>
  <si>
    <t>Methodik &amp; Transparenz-Matrix</t>
  </si>
  <si>
    <t>Jeder Datenpunkt ist klassifiziert: FAKT / ANNAHME / MODELL / LUECKE</t>
  </si>
  <si>
    <t>Legende:</t>
  </si>
  <si>
    <t>FAKT</t>
  </si>
  <si>
    <t>Aus oeffentlichen Quellen ableitbar</t>
  </si>
  <si>
    <t>ANNAHME</t>
  </si>
  <si>
    <t>Vom User steuerbar (gelbe Zellen im INPUTS-Sheet)</t>
  </si>
  <si>
    <t>MODELL</t>
  </si>
  <si>
    <t>Mathematisches Modell (branchenvalidiert)</t>
  </si>
  <si>
    <t>LUECKE</t>
  </si>
  <si>
    <t>Fuer Produktiveinsatz benoetigt (z.B. IQVIA-Daten)</t>
  </si>
  <si>
    <t>FAKTEN (aus oeffentlichen Quellen)</t>
  </si>
  <si>
    <t>Datenpunkt</t>
  </si>
  <si>
    <t>Wert im Modell</t>
  </si>
  <si>
    <t>Quelle</t>
  </si>
  <si>
    <t>Kategorie</t>
  </si>
  <si>
    <t>Eliquis Patent-Ablauf EU</t>
  </si>
  <si>
    <t>EMA / Patentdatenbanken</t>
  </si>
  <si>
    <t>Gesamtmarkt NOAK DE</t>
  </si>
  <si>
    <t>~4.2M TRx/Monat</t>
  </si>
  <si>
    <t>GKV-Arzneimittelindex</t>
  </si>
  <si>
    <t>Eliquis Marktanteil</t>
  </si>
  <si>
    <t>~42%</t>
  </si>
  <si>
    <t>BMS/Pfizer Earnings, IQVIA Public</t>
  </si>
  <si>
    <t>Eliquis Preis/TRx</t>
  </si>
  <si>
    <t>~EUR 91.50</t>
  </si>
  <si>
    <t>Lauer-Taxe, Festbetragslisten</t>
  </si>
  <si>
    <t>Wettbewerber (Xarelto etc.)</t>
  </si>
  <si>
    <t>Shares &amp; Preise</t>
  </si>
  <si>
    <t>GKV-Reports, Hersteller-Berichte</t>
  </si>
  <si>
    <t>Krankenkassen &amp; Versicherte</t>
  </si>
  <si>
    <t>TK 11.5M, BARMER 8.7M etc.</t>
  </si>
  <si>
    <t>BMG-Statistik, GKV-Spitzenverband</t>
  </si>
  <si>
    <t>Generika-Anbieter</t>
  </si>
  <si>
    <t>Zentiva, Teva, STADA etc.</t>
  </si>
  <si>
    <t>EMA-Zulassungsantraege</t>
  </si>
  <si>
    <t>Aut-idem-Pflicht</t>
  </si>
  <si>
    <t>SGB V Par.129</t>
  </si>
  <si>
    <t>Gesetzestext</t>
  </si>
  <si>
    <t>Par.130a SGB V</t>
  </si>
  <si>
    <t>ANNAHMEN (User-steuerbar)</t>
  </si>
  <si>
    <t>Default-Wert</t>
  </si>
  <si>
    <t>Begruendung</t>
  </si>
  <si>
    <t>1.0</t>
  </si>
  <si>
    <t>Erfahrungswert; &lt;1=langsam, &gt;1=schnell. Abhaengig von Festbetrags-Timing</t>
  </si>
  <si>
    <t>12%</t>
  </si>
  <si>
    <t>Markentreue bei Small Molecules: 10-15% typisch</t>
  </si>
  <si>
    <t>15%</t>
  </si>
  <si>
    <t>Strategische Entscheidung des Originators</t>
  </si>
  <si>
    <t>Apixaban-Marktanteil</t>
  </si>
  <si>
    <t>42%</t>
  </si>
  <si>
    <t>Anteil von Apixaban am NOAK-Gesamtmarkt</t>
  </si>
  <si>
    <t>Generika-Segment Peak</t>
  </si>
  <si>
    <t>55%</t>
  </si>
  <si>
    <t>Anteil der Apixaban-Rx, die generisch werden</t>
  </si>
  <si>
    <t>20%</t>
  </si>
  <si>
    <t>Marktanteil unter den Apixaban-Generika</t>
  </si>
  <si>
    <t>Monate bis Peak</t>
  </si>
  <si>
    <t>18</t>
  </si>
  <si>
    <t>S-Kurven-Annahme, historisch validierbar</t>
  </si>
  <si>
    <t>Preis-Discount</t>
  </si>
  <si>
    <t>45%</t>
  </si>
  <si>
    <t>Marktueblich DE: 30-60% fuer Generika</t>
  </si>
  <si>
    <t>75%</t>
  </si>
  <si>
    <t>Abhaengig von Arzt-Akzeptanz und Festbetrag</t>
  </si>
  <si>
    <t>Aut-idem Anlaufzeit</t>
  </si>
  <si>
    <t>6 Monate</t>
  </si>
  <si>
    <t>G-BA braucht 3-6 Monate fuer Festbetragsgruppe</t>
  </si>
  <si>
    <t>Tender pro Kasse</t>
  </si>
  <si>
    <t>Deterministisch</t>
  </si>
  <si>
    <t>Gewonnen/Verloren pro Kasse, Risiko als Szenario-Band</t>
  </si>
  <si>
    <t>Mein Tender-Anteil (Mehrfachvergabe)</t>
  </si>
  <si>
    <t>50%</t>
  </si>
  <si>
    <t>2 Hauptpartner pro Kasse (Versorgungssicherheit)</t>
  </si>
  <si>
    <t>COGS</t>
  </si>
  <si>
    <t>25%</t>
  </si>
  <si>
    <t>Branchenueblich Small Molecule Generika</t>
  </si>
  <si>
    <t>SG&amp;A</t>
  </si>
  <si>
    <t>EUR 150K/Monat</t>
  </si>
  <si>
    <t>Firmenspezifisch</t>
  </si>
  <si>
    <t>0.5</t>
  </si>
  <si>
    <t>AG verliert Anteil an unabh. Generika; 0=statisch, 2=schnell</t>
  </si>
  <si>
    <t>AG-Preis naehert sich Generika-Preis an; 0=statisch, 2=schnell</t>
  </si>
  <si>
    <t>MATHEMATISCHE MODELLE</t>
  </si>
  <si>
    <t>Modell</t>
  </si>
  <si>
    <t>Formel / Logik</t>
  </si>
  <si>
    <t>Validierung / Referenz</t>
  </si>
  <si>
    <t>Originator-Erosion</t>
  </si>
  <si>
    <t>Exponentieller Decay: Share(t) = Floor + (Init-Floor) * e^(-k*t*speed)</t>
  </si>
  <si>
    <t>Standard im Pharma-Forecasting; validiert durch Clopidogrel, Atorvastatin LOEs</t>
  </si>
  <si>
    <t>Generika-Uptake</t>
  </si>
  <si>
    <t>Logistische S-Kurve: 1 / (1 + e^(-s*(t-m)))</t>
  </si>
  <si>
    <t>Rogers Adoption Curve; Standard bei Launch-Forecasts</t>
  </si>
  <si>
    <t>Aut-idem-Kurve</t>
  </si>
  <si>
    <t>Linear Ramp: 0 -&gt; Peak ueber [ramp, full] Monate</t>
  </si>
  <si>
    <t>Abgeleitet aus G-BA Festbetrags-Timing + Apotheken-Substitutionsverhalten</t>
  </si>
  <si>
    <t>Tender-Effekt</t>
  </si>
  <si>
    <t>Deterministisch: Sum(gewonnene Kasse_shares) * Ramp * Aut-idem-Rate * My_Share</t>
  </si>
  <si>
    <t>Binaer pro Kasse (gewonnen/verloren); Risiko als Szenario-Band (Bear/Base/Bull)</t>
  </si>
  <si>
    <t>Preis-Erosion</t>
  </si>
  <si>
    <t>Zusaetzlicher Preisverfall: +0.3%/Monat, Max 15%</t>
  </si>
  <si>
    <t>Beobachteter Trend in reifen Generika-Maerkten</t>
  </si>
  <si>
    <t>AG Anteil-Erosion</t>
  </si>
  <si>
    <t>AG_Share(t) = max(2%, Initial * e^(-speed*0.05*t))</t>
  </si>
  <si>
    <t>AG verliert Anteil an unabh. Generika ueber Zeit; Floor bei 2%</t>
  </si>
  <si>
    <t>AG Discount-Zunahme</t>
  </si>
  <si>
    <t>AG_Disc(t) = min(85%, 1 - (1-Init) * e^(-speed*0.03*t))</t>
  </si>
  <si>
    <t>AG-Preis naehert sich Generika-Niveau an; Cap bei 85%</t>
  </si>
  <si>
    <t>LUECKEN (fuer Produktiveinsatz benoetigt)</t>
  </si>
  <si>
    <t>Gap</t>
  </si>
  <si>
    <t>Beschreibung</t>
  </si>
  <si>
    <t>Datenquelle</t>
  </si>
  <si>
    <t>Echte IQVIA-Daten</t>
  </si>
  <si>
    <t>TRx, NRx, DDD auf Monatsebene pro Produkt</t>
  </si>
  <si>
    <t>IQVIA Midas / DPM</t>
  </si>
  <si>
    <t>Festbetrags-Timing</t>
  </si>
  <si>
    <t>Wann genau bildet G-BA die Festbetragsgruppe?</t>
  </si>
  <si>
    <t>G-BA Beschluesse</t>
  </si>
  <si>
    <t>Aut-idem Exclusion</t>
  </si>
  <si>
    <t>Tatsaechliche Arzt-Quote fuer aut-idem-Kreuz</t>
  </si>
  <si>
    <t>IQVIA Rx-Daten</t>
  </si>
  <si>
    <t>Regionale Unterschiede</t>
  </si>
  <si>
    <t>KV-Regionen haben versch. Verordnungsmuster</t>
  </si>
  <si>
    <t>IQVIA Regional</t>
  </si>
  <si>
    <t>Switching-Kosten</t>
  </si>
  <si>
    <t>Antikoagulantien: hoehere Barriere als z.B. PPIs</t>
  </si>
  <si>
    <t>Klinische Literatur</t>
  </si>
  <si>
    <t>Analog-Validierung</t>
  </si>
  <si>
    <t>Historische Erosionskurven als Benchmark</t>
  </si>
  <si>
    <t>IQVIA History</t>
  </si>
  <si>
    <t>Tender-Detaildaten</t>
  </si>
  <si>
    <t>Tatsaechliche Ausschreibungsvolumina pro Kasse</t>
  </si>
  <si>
    <t>GKV-Ausschreibungsportale</t>
  </si>
  <si>
    <t>Hinweis: Alle Daten sind synthetisch und dienen der Illustration. Angelehnt an oeffentlich verfuegbare Marktdaten. Kein Bezug zu vertraulichen IQVIA-Daten.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</si>
</sst>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-0.0%"/>
  </numFmts>
  <fonts count="14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DC2626"/>
      <name val="Calibri"/>
      <family val="2"/>
      <scheme val="minor"/>
    </font>
    <font>
      <b/>
      <sz val="14"/>
      <color rgb="FF166534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4" fillId="0" borderId="4" xfId="0" applyFont="1" applyBorder="1"/>
    <xf numFmtId="0" fontId="5" fillId="3" borderId="3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8" fillId="4" borderId="5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9" fillId="5" borderId="5" xfId="0" applyFont="1" applyFill="1" applyBorder="1"/>
    <xf numFmtId="167" fontId="10" fillId="5" borderId="5" xfId="0" applyNumberFormat="1" applyFont="1" applyFill="1" applyBorder="1" applyAlignment="1">
      <alignment horizontal="center"/>
    </xf>
    <xf numFmtId="168" fontId="11" fillId="6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167" fontId="0" fillId="8" borderId="0" xfId="0" applyNumberFormat="1" applyFill="1"/>
    <xf numFmtId="167" fontId="12" fillId="9" borderId="5" xfId="0" applyNumberFormat="1" applyFont="1" applyFill="1" applyBorder="1" applyAlignment="1">
      <alignment horizontal="center"/>
    </xf>
    <xf numFmtId="165" fontId="12" fillId="9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12" borderId="5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Originator Umsatz-Entwicklung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Originator Umsatz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Forecast'!$I$9:$I$80</c:f>
              <c:numCache>
                <c:formatCode>General</c:formatCode>
                <c:ptCount val="72"/>
                <c:pt idx="0">
                  <c:v>161757268.5</c:v>
                </c:pt>
                <c:pt idx="1">
                  <c:v>160473981</c:v>
                </c:pt>
                <c:pt idx="2">
                  <c:v>162812538</c:v>
                </c:pt>
                <c:pt idx="3">
                  <c:v>163304167.5</c:v>
                </c:pt>
                <c:pt idx="4">
                  <c:v>160220343</c:v>
                </c:pt>
                <c:pt idx="5">
                  <c:v>161241666</c:v>
                </c:pt>
                <c:pt idx="6">
                  <c:v>163175610</c:v>
                </c:pt>
                <c:pt idx="7">
                  <c:v>162929566.5</c:v>
                </c:pt>
                <c:pt idx="8">
                  <c:v>163551034.5</c:v>
                </c:pt>
                <c:pt idx="9">
                  <c:v>162844929</c:v>
                </c:pt>
                <c:pt idx="10">
                  <c:v>165147160.5</c:v>
                </c:pt>
                <c:pt idx="11">
                  <c:v>165303168</c:v>
                </c:pt>
                <c:pt idx="12">
                  <c:v>164663857.5</c:v>
                </c:pt>
                <c:pt idx="13">
                  <c:v>143199535.16</c:v>
                </c:pt>
                <c:pt idx="14">
                  <c:v>125204000.92</c:v>
                </c:pt>
                <c:pt idx="15">
                  <c:v>110105128.96</c:v>
                </c:pt>
                <c:pt idx="16">
                  <c:v>97388180.55</c:v>
                </c:pt>
                <c:pt idx="17">
                  <c:v>86661507.42</c:v>
                </c:pt>
                <c:pt idx="18">
                  <c:v>77587084.95999999</c:v>
                </c:pt>
                <c:pt idx="19">
                  <c:v>70820706.11</c:v>
                </c:pt>
                <c:pt idx="20">
                  <c:v>65272205.46</c:v>
                </c:pt>
                <c:pt idx="21">
                  <c:v>60729348.68</c:v>
                </c:pt>
                <c:pt idx="22">
                  <c:v>57016220.03</c:v>
                </c:pt>
                <c:pt idx="23">
                  <c:v>53987156.3</c:v>
                </c:pt>
                <c:pt idx="24">
                  <c:v>51521536.22</c:v>
                </c:pt>
                <c:pt idx="25">
                  <c:v>49959992.39</c:v>
                </c:pt>
                <c:pt idx="26">
                  <c:v>48646146.01</c:v>
                </c:pt>
                <c:pt idx="27">
                  <c:v>47542278.63</c:v>
                </c:pt>
                <c:pt idx="28">
                  <c:v>46616582.32</c:v>
                </c:pt>
                <c:pt idx="29">
                  <c:v>45841993.12</c:v>
                </c:pt>
                <c:pt idx="30">
                  <c:v>45195568.88</c:v>
                </c:pt>
                <c:pt idx="31">
                  <c:v>44657944.87</c:v>
                </c:pt>
                <c:pt idx="32">
                  <c:v>44212478.31</c:v>
                </c:pt>
                <c:pt idx="33">
                  <c:v>43845248.37</c:v>
                </c:pt>
                <c:pt idx="34">
                  <c:v>43544356.24</c:v>
                </c:pt>
                <c:pt idx="35">
                  <c:v>43299769.59</c:v>
                </c:pt>
                <c:pt idx="36">
                  <c:v>43103011.49</c:v>
                </c:pt>
                <c:pt idx="37">
                  <c:v>42946771.56</c:v>
                </c:pt>
                <c:pt idx="38">
                  <c:v>42824905.97</c:v>
                </c:pt>
                <c:pt idx="39">
                  <c:v>42732204.13</c:v>
                </c:pt>
                <c:pt idx="40">
                  <c:v>42664233.15</c:v>
                </c:pt>
                <c:pt idx="41">
                  <c:v>42617337.84</c:v>
                </c:pt>
                <c:pt idx="42">
                  <c:v>42588329.63</c:v>
                </c:pt>
                <c:pt idx="43">
                  <c:v>42574408.8</c:v>
                </c:pt>
                <c:pt idx="44">
                  <c:v>42573397.79</c:v>
                </c:pt>
                <c:pt idx="45">
                  <c:v>42583274.58</c:v>
                </c:pt>
                <c:pt idx="46">
                  <c:v>42602483.77</c:v>
                </c:pt>
                <c:pt idx="47">
                  <c:v>42629547.73</c:v>
                </c:pt>
                <c:pt idx="48">
                  <c:v>42663377.68</c:v>
                </c:pt>
                <c:pt idx="49">
                  <c:v>42702884.84</c:v>
                </c:pt>
                <c:pt idx="50">
                  <c:v>42747291.51</c:v>
                </c:pt>
                <c:pt idx="51">
                  <c:v>42795819.99</c:v>
                </c:pt>
                <c:pt idx="52">
                  <c:v>42847925.89</c:v>
                </c:pt>
                <c:pt idx="53">
                  <c:v>42902987.05</c:v>
                </c:pt>
                <c:pt idx="54">
                  <c:v>42960614.62</c:v>
                </c:pt>
                <c:pt idx="55">
                  <c:v>43020497.52</c:v>
                </c:pt>
                <c:pt idx="56">
                  <c:v>43082169.13</c:v>
                </c:pt>
                <c:pt idx="57">
                  <c:v>43145551.68</c:v>
                </c:pt>
                <c:pt idx="58">
                  <c:v>43210256.32</c:v>
                </c:pt>
                <c:pt idx="59">
                  <c:v>43276205.28</c:v>
                </c:pt>
                <c:pt idx="60">
                  <c:v>43343165.25</c:v>
                </c:pt>
                <c:pt idx="61">
                  <c:v>43411058.46</c:v>
                </c:pt>
                <c:pt idx="62">
                  <c:v>43479729.37</c:v>
                </c:pt>
                <c:pt idx="63">
                  <c:v>43549022.44</c:v>
                </c:pt>
                <c:pt idx="64">
                  <c:v>43618937.67</c:v>
                </c:pt>
                <c:pt idx="65">
                  <c:v>43689397.29</c:v>
                </c:pt>
                <c:pt idx="66">
                  <c:v>43760245.76</c:v>
                </c:pt>
                <c:pt idx="67">
                  <c:v>43831560.85</c:v>
                </c:pt>
                <c:pt idx="68">
                  <c:v>43903264.79</c:v>
                </c:pt>
                <c:pt idx="69">
                  <c:v>43975279.81</c:v>
                </c:pt>
                <c:pt idx="70">
                  <c:v>44047528.14</c:v>
                </c:pt>
                <c:pt idx="71">
                  <c:v>44120165.32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,K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 &amp; Aut-idem-Quote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Originator Marktanteil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Forecast'!$F$9:$F$80</c:f>
              <c:numCache>
                <c:formatCode>General</c:formatCode>
                <c:ptCount val="72"/>
                <c:pt idx="0">
                  <c:v>0.4209</c:v>
                </c:pt>
                <c:pt idx="1">
                  <c:v>0.4169</c:v>
                </c:pt>
                <c:pt idx="2">
                  <c:v>0.4223</c:v>
                </c:pt>
                <c:pt idx="3">
                  <c:v>0.4228</c:v>
                </c:pt>
                <c:pt idx="4">
                  <c:v>0.4141</c:v>
                </c:pt>
                <c:pt idx="5">
                  <c:v>0.4161</c:v>
                </c:pt>
                <c:pt idx="6">
                  <c:v>0.4204</c:v>
                </c:pt>
                <c:pt idx="7">
                  <c:v>0.4191</c:v>
                </c:pt>
                <c:pt idx="8">
                  <c:v>0.4199</c:v>
                </c:pt>
                <c:pt idx="9">
                  <c:v>0.4174</c:v>
                </c:pt>
                <c:pt idx="10">
                  <c:v>0.4226</c:v>
                </c:pt>
                <c:pt idx="11">
                  <c:v>0.4223</c:v>
                </c:pt>
                <c:pt idx="12">
                  <c:v>0.42</c:v>
                </c:pt>
                <c:pt idx="13">
                  <c:v>0.374</c:v>
                </c:pt>
                <c:pt idx="14">
                  <c:v>0.3351</c:v>
                </c:pt>
                <c:pt idx="15">
                  <c:v>0.3021</c:v>
                </c:pt>
                <c:pt idx="16">
                  <c:v>0.2742</c:v>
                </c:pt>
                <c:pt idx="17">
                  <c:v>0.2505</c:v>
                </c:pt>
                <c:pt idx="18">
                  <c:v>0.2305</c:v>
                </c:pt>
                <c:pt idx="19">
                  <c:v>0.2101</c:v>
                </c:pt>
                <c:pt idx="20">
                  <c:v>0.1933</c:v>
                </c:pt>
                <c:pt idx="21">
                  <c:v>0.1795</c:v>
                </c:pt>
                <c:pt idx="22">
                  <c:v>0.1683</c:v>
                </c:pt>
                <c:pt idx="23">
                  <c:v>0.1591</c:v>
                </c:pt>
                <c:pt idx="24">
                  <c:v>0.1516</c:v>
                </c:pt>
                <c:pt idx="25">
                  <c:v>0.1467</c:v>
                </c:pt>
                <c:pt idx="26">
                  <c:v>0.1426</c:v>
                </c:pt>
                <c:pt idx="27">
                  <c:v>0.1392</c:v>
                </c:pt>
                <c:pt idx="28">
                  <c:v>0.1362</c:v>
                </c:pt>
                <c:pt idx="29">
                  <c:v>0.1337</c:v>
                </c:pt>
                <c:pt idx="30">
                  <c:v>0.1316</c:v>
                </c:pt>
                <c:pt idx="31">
                  <c:v>0.1298</c:v>
                </c:pt>
                <c:pt idx="32">
                  <c:v>0.1283</c:v>
                </c:pt>
                <c:pt idx="33">
                  <c:v>0.1271</c:v>
                </c:pt>
                <c:pt idx="34">
                  <c:v>0.126</c:v>
                </c:pt>
                <c:pt idx="35">
                  <c:v>0.1251</c:v>
                </c:pt>
                <c:pt idx="36">
                  <c:v>0.1243</c:v>
                </c:pt>
                <c:pt idx="37">
                  <c:v>0.1236</c:v>
                </c:pt>
                <c:pt idx="38">
                  <c:v>0.1231</c:v>
                </c:pt>
                <c:pt idx="39">
                  <c:v>0.1226</c:v>
                </c:pt>
                <c:pt idx="40">
                  <c:v>0.1222</c:v>
                </c:pt>
                <c:pt idx="41">
                  <c:v>0.1219</c:v>
                </c:pt>
                <c:pt idx="42">
                  <c:v>0.1216</c:v>
                </c:pt>
                <c:pt idx="43">
                  <c:v>0.1213</c:v>
                </c:pt>
                <c:pt idx="44">
                  <c:v>0.1211</c:v>
                </c:pt>
                <c:pt idx="45">
                  <c:v>0.121</c:v>
                </c:pt>
                <c:pt idx="46">
                  <c:v>0.1208</c:v>
                </c:pt>
                <c:pt idx="47">
                  <c:v>0.1207</c:v>
                </c:pt>
                <c:pt idx="48">
                  <c:v>0.1206</c:v>
                </c:pt>
                <c:pt idx="49">
                  <c:v>0.1205</c:v>
                </c:pt>
                <c:pt idx="50">
                  <c:v>0.1204</c:v>
                </c:pt>
                <c:pt idx="51">
                  <c:v>0.1204</c:v>
                </c:pt>
                <c:pt idx="52">
                  <c:v>0.1203</c:v>
                </c:pt>
                <c:pt idx="53">
                  <c:v>0.1203</c:v>
                </c:pt>
                <c:pt idx="54">
                  <c:v>0.1202</c:v>
                </c:pt>
                <c:pt idx="55">
                  <c:v>0.1202</c:v>
                </c:pt>
                <c:pt idx="56">
                  <c:v>0.1202</c:v>
                </c:pt>
                <c:pt idx="57">
                  <c:v>0.1201</c:v>
                </c:pt>
                <c:pt idx="58">
                  <c:v>0.1201</c:v>
                </c:pt>
                <c:pt idx="59">
                  <c:v>0.1201</c:v>
                </c:pt>
                <c:pt idx="60">
                  <c:v>0.1201</c:v>
                </c:pt>
                <c:pt idx="61">
                  <c:v>0.1201</c:v>
                </c:pt>
                <c:pt idx="62">
                  <c:v>0.1201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</c:numCache>
            </c:numRef>
          </c:val>
        </c:ser>
        <c:ser>
          <c:idx val="1"/>
          <c:order val="1"/>
          <c:tx>
            <c:v>Aut-idem Quote</c:v>
          </c:tx>
          <c:spPr>
            <a:ln w="25400"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Forecast'!$G$9:$G$80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0.125</c:v>
                </c:pt>
                <c:pt idx="20">
                  <c:v>0.25</c:v>
                </c:pt>
                <c:pt idx="21">
                  <c:v>0.375</c:v>
                </c:pt>
                <c:pt idx="22">
                  <c:v>0.5</c:v>
                </c:pt>
                <c:pt idx="23">
                  <c:v>0.625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Anteil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Kumulativer Revenue at Risk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Kum. Revenue at Risk</c:v>
          </c:tx>
          <c:spPr>
            <a:solidFill>
              <a:srgbClr val="FCA5A5"/>
            </a:solidFill>
            <a:ln w="19050">
              <a:solidFill>
                <a:srgbClr val="DC2626"/>
              </a:solidFill>
            </a:ln>
          </c:spP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Forecast'!$L$9:$L$80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21738730.84</c:v>
                </c:pt>
                <c:pt idx="14">
                  <c:v>61747861.92</c:v>
                </c:pt>
                <c:pt idx="15">
                  <c:v>117131279.96</c:v>
                </c:pt>
                <c:pt idx="16">
                  <c:v>185507427.41</c:v>
                </c:pt>
                <c:pt idx="17">
                  <c:v>264886486.49</c:v>
                </c:pt>
                <c:pt idx="18">
                  <c:v>353616755.53</c:v>
                </c:pt>
                <c:pt idx="19">
                  <c:v>449390556.92</c:v>
                </c:pt>
                <c:pt idx="20">
                  <c:v>550990561.46</c:v>
                </c:pt>
                <c:pt idx="21">
                  <c:v>657411491.28</c:v>
                </c:pt>
                <c:pt idx="22">
                  <c:v>767824167.25</c:v>
                </c:pt>
                <c:pt idx="23">
                  <c:v>881544981.95</c:v>
                </c:pt>
                <c:pt idx="24">
                  <c:v>998010949.23</c:v>
                </c:pt>
                <c:pt idx="25">
                  <c:v>1116318358.84</c:v>
                </c:pt>
                <c:pt idx="26">
                  <c:v>1236220062.33</c:v>
                </c:pt>
                <c:pt idx="27">
                  <c:v>1357506629.7</c:v>
                </c:pt>
                <c:pt idx="28">
                  <c:v>1480000255.88</c:v>
                </c:pt>
                <c:pt idx="29">
                  <c:v>1603550291.26</c:v>
                </c:pt>
                <c:pt idx="30">
                  <c:v>1728029119.88</c:v>
                </c:pt>
                <c:pt idx="31">
                  <c:v>1853328307.51</c:v>
                </c:pt>
                <c:pt idx="32">
                  <c:v>1979356245.7</c:v>
                </c:pt>
                <c:pt idx="33">
                  <c:v>2106035155.33</c:v>
                </c:pt>
                <c:pt idx="34">
                  <c:v>2233299156.09</c:v>
                </c:pt>
                <c:pt idx="35">
                  <c:v>2361092400</c:v>
                </c:pt>
                <c:pt idx="36">
                  <c:v>2489367607.51</c:v>
                </c:pt>
                <c:pt idx="37">
                  <c:v>2618084626.45</c:v>
                </c:pt>
                <c:pt idx="38">
                  <c:v>2747209631.48</c:v>
                </c:pt>
                <c:pt idx="39">
                  <c:v>2876713916.35</c:v>
                </c:pt>
                <c:pt idx="40">
                  <c:v>3006573207.7</c:v>
                </c:pt>
                <c:pt idx="41">
                  <c:v>3136766978.86</c:v>
                </c:pt>
                <c:pt idx="42">
                  <c:v>3267277800.23</c:v>
                </c:pt>
                <c:pt idx="43">
                  <c:v>3398091041.93</c:v>
                </c:pt>
                <c:pt idx="44">
                  <c:v>3529194251.64</c:v>
                </c:pt>
                <c:pt idx="45">
                  <c:v>3660576999.06</c:v>
                </c:pt>
                <c:pt idx="46">
                  <c:v>3792230500.79</c:v>
                </c:pt>
                <c:pt idx="47">
                  <c:v>3924147359.56</c:v>
                </c:pt>
                <c:pt idx="48">
                  <c:v>4056321358.38</c:v>
                </c:pt>
                <c:pt idx="49">
                  <c:v>4188747186.04</c:v>
                </c:pt>
                <c:pt idx="50">
                  <c:v>4321420492.03</c:v>
                </c:pt>
                <c:pt idx="51">
                  <c:v>4454337703.54</c:v>
                </c:pt>
                <c:pt idx="52">
                  <c:v>4587495609.15</c:v>
                </c:pt>
                <c:pt idx="53">
                  <c:v>4720891802.599999</c:v>
                </c:pt>
                <c:pt idx="54">
                  <c:v>4854524174.98</c:v>
                </c:pt>
                <c:pt idx="55">
                  <c:v>4988391019.959999</c:v>
                </c:pt>
                <c:pt idx="56">
                  <c:v>5122491006.329999</c:v>
                </c:pt>
                <c:pt idx="57">
                  <c:v>5256822880.649999</c:v>
                </c:pt>
                <c:pt idx="58">
                  <c:v>5391385869.829999</c:v>
                </c:pt>
                <c:pt idx="59">
                  <c:v>5526179187.049999</c:v>
                </c:pt>
                <c:pt idx="60">
                  <c:v>5661202370.299999</c:v>
                </c:pt>
                <c:pt idx="61">
                  <c:v>5796454943.839999</c:v>
                </c:pt>
                <c:pt idx="62">
                  <c:v>5931936587.469999</c:v>
                </c:pt>
                <c:pt idx="63">
                  <c:v>6067647228.03</c:v>
                </c:pt>
                <c:pt idx="64">
                  <c:v>6203586700.86</c:v>
                </c:pt>
                <c:pt idx="65">
                  <c:v>6339755010.57</c:v>
                </c:pt>
                <c:pt idx="66">
                  <c:v>6476152225.809999</c:v>
                </c:pt>
                <c:pt idx="67">
                  <c:v>6612778337.459999</c:v>
                </c:pt>
                <c:pt idx="68">
                  <c:v>6749633505.669999</c:v>
                </c:pt>
                <c:pt idx="69">
                  <c:v>6886717968.359999</c:v>
                </c:pt>
                <c:pt idx="70">
                  <c:v>7024031949.719998</c:v>
                </c:pt>
                <c:pt idx="71">
                  <c:v>7161575518.399999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,,M" sourceLinked="0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Volumen-Dekomposition: Organisch / Aut-idem / Tender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Organisch</c:v>
          </c:tx>
          <c:spPr>
            <a:solidFill>
              <a:srgbClr val="86EFAC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Forecast'!$E$11:$E$70</c:f>
              <c:numCache>
                <c:formatCode>General</c:formatCode>
                <c:ptCount val="60"/>
                <c:pt idx="0">
                  <c:v>765</c:v>
                </c:pt>
                <c:pt idx="1">
                  <c:v>1259</c:v>
                </c:pt>
                <c:pt idx="2">
                  <c:v>2051</c:v>
                </c:pt>
                <c:pt idx="3">
                  <c:v>3297</c:v>
                </c:pt>
                <c:pt idx="4">
                  <c:v>5212</c:v>
                </c:pt>
                <c:pt idx="5">
                  <c:v>8074</c:v>
                </c:pt>
                <c:pt idx="6">
                  <c:v>12200</c:v>
                </c:pt>
                <c:pt idx="7">
                  <c:v>15443</c:v>
                </c:pt>
                <c:pt idx="8">
                  <c:v>18387</c:v>
                </c:pt>
                <c:pt idx="9">
                  <c:v>20372</c:v>
                </c:pt>
                <c:pt idx="10">
                  <c:v>21034</c:v>
                </c:pt>
                <c:pt idx="11">
                  <c:v>19620</c:v>
                </c:pt>
                <c:pt idx="12">
                  <c:v>15702</c:v>
                </c:pt>
                <c:pt idx="13">
                  <c:v>18723</c:v>
                </c:pt>
                <c:pt idx="14">
                  <c:v>21704</c:v>
                </c:pt>
                <c:pt idx="15">
                  <c:v>24552</c:v>
                </c:pt>
                <c:pt idx="16">
                  <c:v>27200</c:v>
                </c:pt>
                <c:pt idx="17">
                  <c:v>29609</c:v>
                </c:pt>
                <c:pt idx="18">
                  <c:v>31764</c:v>
                </c:pt>
                <c:pt idx="19">
                  <c:v>33663</c:v>
                </c:pt>
                <c:pt idx="20">
                  <c:v>35318</c:v>
                </c:pt>
                <c:pt idx="21">
                  <c:v>36747</c:v>
                </c:pt>
                <c:pt idx="22">
                  <c:v>37973</c:v>
                </c:pt>
                <c:pt idx="23">
                  <c:v>39020</c:v>
                </c:pt>
                <c:pt idx="24">
                  <c:v>39910</c:v>
                </c:pt>
                <c:pt idx="25">
                  <c:v>40666</c:v>
                </c:pt>
                <c:pt idx="26">
                  <c:v>41307</c:v>
                </c:pt>
                <c:pt idx="27">
                  <c:v>41851</c:v>
                </c:pt>
                <c:pt idx="28">
                  <c:v>42314</c:v>
                </c:pt>
                <c:pt idx="29">
                  <c:v>42709</c:v>
                </c:pt>
                <c:pt idx="30">
                  <c:v>43048</c:v>
                </c:pt>
                <c:pt idx="31">
                  <c:v>43339</c:v>
                </c:pt>
                <c:pt idx="32">
                  <c:v>43593</c:v>
                </c:pt>
                <c:pt idx="33">
                  <c:v>43814</c:v>
                </c:pt>
                <c:pt idx="34">
                  <c:v>44009</c:v>
                </c:pt>
                <c:pt idx="35">
                  <c:v>44182</c:v>
                </c:pt>
                <c:pt idx="36">
                  <c:v>44338</c:v>
                </c:pt>
                <c:pt idx="37">
                  <c:v>44479</c:v>
                </c:pt>
                <c:pt idx="38">
                  <c:v>44609</c:v>
                </c:pt>
                <c:pt idx="39">
                  <c:v>44728</c:v>
                </c:pt>
                <c:pt idx="40">
                  <c:v>44840</c:v>
                </c:pt>
                <c:pt idx="41">
                  <c:v>44945</c:v>
                </c:pt>
                <c:pt idx="42">
                  <c:v>45045</c:v>
                </c:pt>
                <c:pt idx="43">
                  <c:v>45141</c:v>
                </c:pt>
                <c:pt idx="44">
                  <c:v>45233</c:v>
                </c:pt>
                <c:pt idx="45">
                  <c:v>45322</c:v>
                </c:pt>
                <c:pt idx="46">
                  <c:v>45409</c:v>
                </c:pt>
                <c:pt idx="47">
                  <c:v>45493</c:v>
                </c:pt>
                <c:pt idx="48">
                  <c:v>45577</c:v>
                </c:pt>
                <c:pt idx="49">
                  <c:v>45659</c:v>
                </c:pt>
                <c:pt idx="50">
                  <c:v>45740</c:v>
                </c:pt>
                <c:pt idx="51">
                  <c:v>45821</c:v>
                </c:pt>
                <c:pt idx="52">
                  <c:v>45900</c:v>
                </c:pt>
                <c:pt idx="53">
                  <c:v>45980</c:v>
                </c:pt>
                <c:pt idx="54">
                  <c:v>46059</c:v>
                </c:pt>
                <c:pt idx="55">
                  <c:v>46137</c:v>
                </c:pt>
                <c:pt idx="56">
                  <c:v>46216</c:v>
                </c:pt>
                <c:pt idx="57">
                  <c:v>46294</c:v>
                </c:pt>
                <c:pt idx="58">
                  <c:v>46372</c:v>
                </c:pt>
                <c:pt idx="59">
                  <c:v>46450</c:v>
                </c:pt>
              </c:numCache>
            </c:numRef>
          </c:val>
        </c:ser>
        <c:ser>
          <c:idx val="1"/>
          <c:order val="1"/>
          <c:tx>
            <c:v>Aut-idem</c:v>
          </c:tx>
          <c:spPr>
            <a:solidFill>
              <a:srgbClr val="FBBF24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Forecast'!$F$11:$F$70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2206</c:v>
                </c:pt>
                <c:pt idx="8">
                  <c:v>6128</c:v>
                </c:pt>
                <c:pt idx="9">
                  <c:v>12222</c:v>
                </c:pt>
                <c:pt idx="10">
                  <c:v>21033</c:v>
                </c:pt>
                <c:pt idx="11">
                  <c:v>32698</c:v>
                </c:pt>
                <c:pt idx="12">
                  <c:v>47105</c:v>
                </c:pt>
                <c:pt idx="13">
                  <c:v>56169</c:v>
                </c:pt>
                <c:pt idx="14">
                  <c:v>65112</c:v>
                </c:pt>
                <c:pt idx="15">
                  <c:v>73654</c:v>
                </c:pt>
                <c:pt idx="16">
                  <c:v>81598</c:v>
                </c:pt>
                <c:pt idx="17">
                  <c:v>88827</c:v>
                </c:pt>
                <c:pt idx="18">
                  <c:v>95289</c:v>
                </c:pt>
                <c:pt idx="19">
                  <c:v>100986</c:v>
                </c:pt>
                <c:pt idx="20">
                  <c:v>105951</c:v>
                </c:pt>
                <c:pt idx="21">
                  <c:v>110240</c:v>
                </c:pt>
                <c:pt idx="22">
                  <c:v>113919</c:v>
                </c:pt>
                <c:pt idx="23">
                  <c:v>117058</c:v>
                </c:pt>
                <c:pt idx="24">
                  <c:v>119730</c:v>
                </c:pt>
                <c:pt idx="25">
                  <c:v>121996</c:v>
                </c:pt>
                <c:pt idx="26">
                  <c:v>123919</c:v>
                </c:pt>
                <c:pt idx="27">
                  <c:v>125551</c:v>
                </c:pt>
                <c:pt idx="28">
                  <c:v>126940</c:v>
                </c:pt>
                <c:pt idx="29">
                  <c:v>128125</c:v>
                </c:pt>
                <c:pt idx="30">
                  <c:v>129141</c:v>
                </c:pt>
                <c:pt idx="31">
                  <c:v>130017</c:v>
                </c:pt>
                <c:pt idx="32">
                  <c:v>130776</c:v>
                </c:pt>
                <c:pt idx="33">
                  <c:v>131440</c:v>
                </c:pt>
                <c:pt idx="34">
                  <c:v>132025</c:v>
                </c:pt>
                <c:pt idx="35">
                  <c:v>132546</c:v>
                </c:pt>
                <c:pt idx="36">
                  <c:v>133013</c:v>
                </c:pt>
                <c:pt idx="37">
                  <c:v>133437</c:v>
                </c:pt>
                <c:pt idx="38">
                  <c:v>133825</c:v>
                </c:pt>
                <c:pt idx="39">
                  <c:v>134184</c:v>
                </c:pt>
                <c:pt idx="40">
                  <c:v>134519</c:v>
                </c:pt>
                <c:pt idx="41">
                  <c:v>134835</c:v>
                </c:pt>
                <c:pt idx="42">
                  <c:v>135134</c:v>
                </c:pt>
                <c:pt idx="43">
                  <c:v>135420</c:v>
                </c:pt>
                <c:pt idx="44">
                  <c:v>135696</c:v>
                </c:pt>
                <c:pt idx="45">
                  <c:v>135964</c:v>
                </c:pt>
                <c:pt idx="46">
                  <c:v>136224</c:v>
                </c:pt>
                <c:pt idx="47">
                  <c:v>136479</c:v>
                </c:pt>
                <c:pt idx="48">
                  <c:v>136729</c:v>
                </c:pt>
                <c:pt idx="49">
                  <c:v>136976</c:v>
                </c:pt>
                <c:pt idx="50">
                  <c:v>137219</c:v>
                </c:pt>
                <c:pt idx="51">
                  <c:v>137460</c:v>
                </c:pt>
                <c:pt idx="52">
                  <c:v>137700</c:v>
                </c:pt>
                <c:pt idx="53">
                  <c:v>137938</c:v>
                </c:pt>
                <c:pt idx="54">
                  <c:v>138174</c:v>
                </c:pt>
                <c:pt idx="55">
                  <c:v>138411</c:v>
                </c:pt>
                <c:pt idx="56">
                  <c:v>138645</c:v>
                </c:pt>
                <c:pt idx="57">
                  <c:v>138880</c:v>
                </c:pt>
                <c:pt idx="58">
                  <c:v>139115</c:v>
                </c:pt>
                <c:pt idx="59">
                  <c:v>139350</c:v>
                </c:pt>
              </c:numCache>
            </c:numRef>
          </c:val>
        </c:ser>
        <c:ser>
          <c:idx val="2"/>
          <c:order val="2"/>
          <c:tx>
            <c:v>Tender</c:v>
          </c:tx>
          <c:spPr>
            <a:solidFill>
              <a:srgbClr val="60A5FA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Forecast'!$G$11:$G$70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262</c:v>
                </c:pt>
                <c:pt idx="8">
                  <c:v>933</c:v>
                </c:pt>
                <c:pt idx="9">
                  <c:v>2303</c:v>
                </c:pt>
                <c:pt idx="10">
                  <c:v>4059</c:v>
                </c:pt>
                <c:pt idx="11">
                  <c:v>6466</c:v>
                </c:pt>
                <c:pt idx="12">
                  <c:v>9551</c:v>
                </c:pt>
                <c:pt idx="13">
                  <c:v>11389</c:v>
                </c:pt>
                <c:pt idx="14">
                  <c:v>13202</c:v>
                </c:pt>
                <c:pt idx="15">
                  <c:v>14934</c:v>
                </c:pt>
                <c:pt idx="16">
                  <c:v>16545</c:v>
                </c:pt>
                <c:pt idx="17">
                  <c:v>18011</c:v>
                </c:pt>
                <c:pt idx="18">
                  <c:v>19321</c:v>
                </c:pt>
                <c:pt idx="19">
                  <c:v>20476</c:v>
                </c:pt>
                <c:pt idx="20">
                  <c:v>21483</c:v>
                </c:pt>
                <c:pt idx="21">
                  <c:v>22352</c:v>
                </c:pt>
                <c:pt idx="22">
                  <c:v>23098</c:v>
                </c:pt>
                <c:pt idx="23">
                  <c:v>23735</c:v>
                </c:pt>
                <c:pt idx="24">
                  <c:v>24276</c:v>
                </c:pt>
                <c:pt idx="25">
                  <c:v>24736</c:v>
                </c:pt>
                <c:pt idx="26">
                  <c:v>25126</c:v>
                </c:pt>
                <c:pt idx="27">
                  <c:v>25457</c:v>
                </c:pt>
                <c:pt idx="28">
                  <c:v>25739</c:v>
                </c:pt>
                <c:pt idx="29">
                  <c:v>25979</c:v>
                </c:pt>
                <c:pt idx="30">
                  <c:v>26185</c:v>
                </c:pt>
                <c:pt idx="31">
                  <c:v>26362</c:v>
                </c:pt>
                <c:pt idx="32">
                  <c:v>26516</c:v>
                </c:pt>
                <c:pt idx="33">
                  <c:v>26651</c:v>
                </c:pt>
                <c:pt idx="34">
                  <c:v>26770</c:v>
                </c:pt>
                <c:pt idx="35">
                  <c:v>26875</c:v>
                </c:pt>
                <c:pt idx="36">
                  <c:v>26970</c:v>
                </c:pt>
                <c:pt idx="37">
                  <c:v>27056</c:v>
                </c:pt>
                <c:pt idx="38">
                  <c:v>27134</c:v>
                </c:pt>
                <c:pt idx="39">
                  <c:v>27207</c:v>
                </c:pt>
                <c:pt idx="40">
                  <c:v>27275</c:v>
                </c:pt>
                <c:pt idx="41">
                  <c:v>27339</c:v>
                </c:pt>
                <c:pt idx="42">
                  <c:v>27400</c:v>
                </c:pt>
                <c:pt idx="43">
                  <c:v>27458</c:v>
                </c:pt>
                <c:pt idx="44">
                  <c:v>27514</c:v>
                </c:pt>
                <c:pt idx="45">
                  <c:v>27568</c:v>
                </c:pt>
                <c:pt idx="46">
                  <c:v>27621</c:v>
                </c:pt>
                <c:pt idx="47">
                  <c:v>27673</c:v>
                </c:pt>
                <c:pt idx="48">
                  <c:v>27723</c:v>
                </c:pt>
                <c:pt idx="49">
                  <c:v>27773</c:v>
                </c:pt>
                <c:pt idx="50">
                  <c:v>27823</c:v>
                </c:pt>
                <c:pt idx="51">
                  <c:v>27872</c:v>
                </c:pt>
                <c:pt idx="52">
                  <c:v>27920</c:v>
                </c:pt>
                <c:pt idx="53">
                  <c:v>27968</c:v>
                </c:pt>
                <c:pt idx="54">
                  <c:v>28016</c:v>
                </c:pt>
                <c:pt idx="55">
                  <c:v>28064</c:v>
                </c:pt>
                <c:pt idx="56">
                  <c:v>28112</c:v>
                </c:pt>
                <c:pt idx="57">
                  <c:v>28160</c:v>
                </c:pt>
                <c:pt idx="58">
                  <c:v>28207</c:v>
                </c:pt>
                <c:pt idx="59">
                  <c:v>28255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TRx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 &amp; Kumulierter Gewinn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86EFAC"/>
            </a:solidFill>
            <a:ln>
              <a:solidFill>
                <a:srgbClr val="16A34A"/>
              </a:solidFill>
            </a:ln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Forecast'!$L$11:$L$70</c:f>
              <c:numCache>
                <c:formatCode>General</c:formatCode>
                <c:ptCount val="60"/>
                <c:pt idx="0">
                  <c:v>38502.45</c:v>
                </c:pt>
                <c:pt idx="1">
                  <c:v>63012.95</c:v>
                </c:pt>
                <c:pt idx="2">
                  <c:v>102098.78</c:v>
                </c:pt>
                <c:pt idx="3">
                  <c:v>163201.5</c:v>
                </c:pt>
                <c:pt idx="4">
                  <c:v>256586.76</c:v>
                </c:pt>
                <c:pt idx="5">
                  <c:v>395222.3</c:v>
                </c:pt>
                <c:pt idx="6">
                  <c:v>593896</c:v>
                </c:pt>
                <c:pt idx="7">
                  <c:v>866892.4</c:v>
                </c:pt>
                <c:pt idx="8">
                  <c:v>1224812.24</c:v>
                </c:pt>
                <c:pt idx="9">
                  <c:v>1669821.45</c:v>
                </c:pt>
                <c:pt idx="10">
                  <c:v>2194675.08</c:v>
                </c:pt>
                <c:pt idx="11">
                  <c:v>2781071.04</c:v>
                </c:pt>
                <c:pt idx="12">
                  <c:v>3402996.74</c:v>
                </c:pt>
                <c:pt idx="13">
                  <c:v>4034499.56</c:v>
                </c:pt>
                <c:pt idx="14">
                  <c:v>4648836.64</c:v>
                </c:pt>
                <c:pt idx="15">
                  <c:v>5228199.4</c:v>
                </c:pt>
                <c:pt idx="16">
                  <c:v>5757003.99</c:v>
                </c:pt>
                <c:pt idx="17">
                  <c:v>6230170.02</c:v>
                </c:pt>
                <c:pt idx="18">
                  <c:v>6642452.12</c:v>
                </c:pt>
                <c:pt idx="19">
                  <c:v>6997688.75</c:v>
                </c:pt>
                <c:pt idx="20">
                  <c:v>7297799.68</c:v>
                </c:pt>
                <c:pt idx="21">
                  <c:v>7545745.84</c:v>
                </c:pt>
                <c:pt idx="22">
                  <c:v>7750307.1</c:v>
                </c:pt>
                <c:pt idx="23">
                  <c:v>7913570.13</c:v>
                </c:pt>
                <c:pt idx="24">
                  <c:v>8044485.84</c:v>
                </c:pt>
                <c:pt idx="25">
                  <c:v>8144317.08</c:v>
                </c:pt>
                <c:pt idx="26">
                  <c:v>8221302.88</c:v>
                </c:pt>
                <c:pt idx="27">
                  <c:v>8275579.69</c:v>
                </c:pt>
                <c:pt idx="28">
                  <c:v>8314501.52</c:v>
                </c:pt>
                <c:pt idx="29">
                  <c:v>8336998.68</c:v>
                </c:pt>
                <c:pt idx="30">
                  <c:v>8349561.66</c:v>
                </c:pt>
                <c:pt idx="31">
                  <c:v>8352206.76</c:v>
                </c:pt>
                <c:pt idx="32">
                  <c:v>8344762.9</c:v>
                </c:pt>
                <c:pt idx="33">
                  <c:v>8332619.35</c:v>
                </c:pt>
                <c:pt idx="34">
                  <c:v>8312935.96</c:v>
                </c:pt>
                <c:pt idx="35">
                  <c:v>8290714.16</c:v>
                </c:pt>
                <c:pt idx="36">
                  <c:v>8262741.24</c:v>
                </c:pt>
                <c:pt idx="37">
                  <c:v>8233725.24</c:v>
                </c:pt>
                <c:pt idx="38">
                  <c:v>8200107.52</c:v>
                </c:pt>
                <c:pt idx="39">
                  <c:v>8166434.78</c:v>
                </c:pt>
                <c:pt idx="40">
                  <c:v>8131047.9</c:v>
                </c:pt>
                <c:pt idx="41">
                  <c:v>8092139.33</c:v>
                </c:pt>
                <c:pt idx="42">
                  <c:v>8054065.2</c:v>
                </c:pt>
                <c:pt idx="43">
                  <c:v>8012891.88</c:v>
                </c:pt>
                <c:pt idx="44">
                  <c:v>7972944.75</c:v>
                </c:pt>
                <c:pt idx="45">
                  <c:v>7930186.38</c:v>
                </c:pt>
                <c:pt idx="46">
                  <c:v>7888875.8</c:v>
                </c:pt>
                <c:pt idx="47">
                  <c:v>7844915.9</c:v>
                </c:pt>
                <c:pt idx="48">
                  <c:v>7802577.35</c:v>
                </c:pt>
                <c:pt idx="49">
                  <c:v>7757742.96</c:v>
                </c:pt>
                <c:pt idx="50">
                  <c:v>7714621.2</c:v>
                </c:pt>
                <c:pt idx="51">
                  <c:v>7728199.8</c:v>
                </c:pt>
                <c:pt idx="52">
                  <c:v>7741632</c:v>
                </c:pt>
                <c:pt idx="53">
                  <c:v>7755027.6</c:v>
                </c:pt>
                <c:pt idx="54">
                  <c:v>7768313.4</c:v>
                </c:pt>
                <c:pt idx="55">
                  <c:v>7781599.2</c:v>
                </c:pt>
                <c:pt idx="56">
                  <c:v>7794811.8</c:v>
                </c:pt>
                <c:pt idx="57">
                  <c:v>7808024.4</c:v>
                </c:pt>
                <c:pt idx="58">
                  <c:v>7821200.4</c:v>
                </c:pt>
                <c:pt idx="59">
                  <c:v>7834413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Kum. Gewinn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Forecast'!$P$11:$P$70</c:f>
              <c:numCache>
                <c:formatCode>General</c:formatCode>
                <c:ptCount val="60"/>
                <c:pt idx="0">
                  <c:v>-671123.16</c:v>
                </c:pt>
                <c:pt idx="1">
                  <c:v>-823863.45</c:v>
                </c:pt>
                <c:pt idx="2">
                  <c:v>-947289.36</c:v>
                </c:pt>
                <c:pt idx="3">
                  <c:v>-1024888.24</c:v>
                </c:pt>
                <c:pt idx="4">
                  <c:v>-1032448.17</c:v>
                </c:pt>
                <c:pt idx="5">
                  <c:v>-936031.45</c:v>
                </c:pt>
                <c:pt idx="6">
                  <c:v>-690609.45</c:v>
                </c:pt>
                <c:pt idx="7">
                  <c:v>-240440.15</c:v>
                </c:pt>
                <c:pt idx="8">
                  <c:v>478169.03</c:v>
                </c:pt>
                <c:pt idx="9">
                  <c:v>1530535.12</c:v>
                </c:pt>
                <c:pt idx="10">
                  <c:v>2976541.43</c:v>
                </c:pt>
                <c:pt idx="11">
                  <c:v>4862344.71</c:v>
                </c:pt>
                <c:pt idx="12">
                  <c:v>7214592.27</c:v>
                </c:pt>
                <c:pt idx="13">
                  <c:v>10040466.94</c:v>
                </c:pt>
                <c:pt idx="14">
                  <c:v>13327094.42</c:v>
                </c:pt>
                <c:pt idx="15">
                  <c:v>17048243.97</c:v>
                </c:pt>
                <c:pt idx="16">
                  <c:v>21165996.96</c:v>
                </c:pt>
                <c:pt idx="17">
                  <c:v>25638624.48</c:v>
                </c:pt>
                <c:pt idx="18">
                  <c:v>30420463.57</c:v>
                </c:pt>
                <c:pt idx="19">
                  <c:v>35468730.13</c:v>
                </c:pt>
                <c:pt idx="20">
                  <c:v>40742079.89</c:v>
                </c:pt>
                <c:pt idx="21">
                  <c:v>46201389.27</c:v>
                </c:pt>
                <c:pt idx="22">
                  <c:v>51814119.59</c:v>
                </c:pt>
                <c:pt idx="23">
                  <c:v>57549297.19</c:v>
                </c:pt>
                <c:pt idx="24">
                  <c:v>63382661.57</c:v>
                </c:pt>
                <c:pt idx="25">
                  <c:v>69290899.38</c:v>
                </c:pt>
                <c:pt idx="26">
                  <c:v>75256876.54000001</c:v>
                </c:pt>
                <c:pt idx="27">
                  <c:v>81263561.31</c:v>
                </c:pt>
                <c:pt idx="28">
                  <c:v>87299437.45</c:v>
                </c:pt>
                <c:pt idx="29">
                  <c:v>93352186.45999999</c:v>
                </c:pt>
                <c:pt idx="30">
                  <c:v>99414357.7</c:v>
                </c:pt>
                <c:pt idx="31">
                  <c:v>105478512.77</c:v>
                </c:pt>
                <c:pt idx="32">
                  <c:v>111537084.95</c:v>
                </c:pt>
                <c:pt idx="33">
                  <c:v>117586549.46</c:v>
                </c:pt>
                <c:pt idx="34">
                  <c:v>123621251.43</c:v>
                </c:pt>
                <c:pt idx="35">
                  <c:v>129639287.05</c:v>
                </c:pt>
                <c:pt idx="36">
                  <c:v>135636342.98</c:v>
                </c:pt>
                <c:pt idx="37">
                  <c:v>141611636.91</c:v>
                </c:pt>
                <c:pt idx="38">
                  <c:v>147561717.55</c:v>
                </c:pt>
                <c:pt idx="39">
                  <c:v>153486543.64</c:v>
                </c:pt>
                <c:pt idx="40">
                  <c:v>159384829.56</c:v>
                </c:pt>
                <c:pt idx="41">
                  <c:v>165253934.06</c:v>
                </c:pt>
                <c:pt idx="42">
                  <c:v>171094482.96</c:v>
                </c:pt>
                <c:pt idx="43">
                  <c:v>176904151.87</c:v>
                </c:pt>
                <c:pt idx="44">
                  <c:v>182683860.43</c:v>
                </c:pt>
                <c:pt idx="45">
                  <c:v>188431500.22</c:v>
                </c:pt>
                <c:pt idx="46">
                  <c:v>194148157.07</c:v>
                </c:pt>
                <c:pt idx="47">
                  <c:v>199831843.99</c:v>
                </c:pt>
                <c:pt idx="48">
                  <c:v>205483777</c:v>
                </c:pt>
                <c:pt idx="49">
                  <c:v>211102084.22</c:v>
                </c:pt>
                <c:pt idx="50">
                  <c:v>216688050.12</c:v>
                </c:pt>
                <c:pt idx="51">
                  <c:v>222284199.97</c:v>
                </c:pt>
                <c:pt idx="52">
                  <c:v>227890423.97</c:v>
                </c:pt>
                <c:pt idx="53">
                  <c:v>233506694.67</c:v>
                </c:pt>
                <c:pt idx="54">
                  <c:v>239132929.72</c:v>
                </c:pt>
                <c:pt idx="55">
                  <c:v>244769129.12</c:v>
                </c:pt>
                <c:pt idx="56">
                  <c:v>250415237.97</c:v>
                </c:pt>
                <c:pt idx="57">
                  <c:v>256071256.27</c:v>
                </c:pt>
                <c:pt idx="58">
                  <c:v>261737156.57</c:v>
                </c:pt>
                <c:pt idx="59">
                  <c:v>267412966.32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Aut-idem Substitutionsquote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Aut-idem Quote</c:v>
          </c:tx>
          <c:spPr>
            <a:solidFill>
              <a:srgbClr val="FEF3C7"/>
            </a:solidFill>
            <a:ln w="25400">
              <a:solidFill>
                <a:srgbClr val="F59E0B"/>
              </a:solidFill>
            </a:ln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Forecast'!$J$11:$J$70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  <c:pt idx="8">
                  <c:v>0.25</c:v>
                </c:pt>
                <c:pt idx="9">
                  <c:v>0.375</c:v>
                </c:pt>
                <c:pt idx="10">
                  <c:v>0.5</c:v>
                </c:pt>
                <c:pt idx="11">
                  <c:v>0.625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Quote</a:t>
                </a:r>
              </a:p>
            </c:rich>
          </c:tx>
          <c:layout/>
        </c:title>
        <c:numFmt formatCode="0%" sourceLinked="0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81</xdr:row>
      <xdr:rowOff>0</xdr:rowOff>
    </xdr:from>
    <xdr:to>
      <xdr:col>8</xdr:col>
      <xdr:colOff>85725</xdr:colOff>
      <xdr:row>100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81</xdr:row>
      <xdr:rowOff>0</xdr:rowOff>
    </xdr:from>
    <xdr:to>
      <xdr:col>17</xdr:col>
      <xdr:colOff>219075</xdr:colOff>
      <xdr:row>100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8</xdr:col>
      <xdr:colOff>85725</xdr:colOff>
      <xdr:row>120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8</xdr:col>
      <xdr:colOff>885825</xdr:colOff>
      <xdr:row>90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71</xdr:row>
      <xdr:rowOff>0</xdr:rowOff>
    </xdr:from>
    <xdr:to>
      <xdr:col>17</xdr:col>
      <xdr:colOff>142875</xdr:colOff>
      <xdr:row>90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8</xdr:col>
      <xdr:colOff>885825</xdr:colOff>
      <xdr:row>110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F91"/>
  <sheetViews>
    <sheetView showGridLines="0" tabSelected="1" workbookViewId="0"/>
  </sheetViews>
  <sheetFormatPr defaultRowHeight="15"/>
  <cols>
    <col min="1" max="1" width="3.7109375" customWidth="1"/>
    <col min="2" max="2" width="42.7109375" customWidth="1"/>
    <col min="3" max="3" width="18.7109375" customWidth="1"/>
    <col min="4" max="4" width="50.7109375" customWidth="1"/>
    <col min="5" max="6" width="18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5" t="s">
        <v>10</v>
      </c>
      <c r="D8" s="6" t="s">
        <v>11</v>
      </c>
    </row>
    <row r="9" spans="2:4">
      <c r="B9" s="4" t="s">
        <v>12</v>
      </c>
      <c r="C9" s="7">
        <v>4200000</v>
      </c>
      <c r="D9" s="6" t="s">
        <v>13</v>
      </c>
    </row>
    <row r="10" spans="2:4">
      <c r="B10" s="4" t="s">
        <v>14</v>
      </c>
      <c r="C10" s="7">
        <v>285000000</v>
      </c>
      <c r="D10" s="6" t="s">
        <v>15</v>
      </c>
    </row>
    <row r="11" spans="2:4">
      <c r="B11" s="4" t="s">
        <v>16</v>
      </c>
      <c r="C11" s="8">
        <v>0.02</v>
      </c>
      <c r="D11" s="6" t="s">
        <v>17</v>
      </c>
    </row>
    <row r="12" spans="2:4">
      <c r="B12" s="4" t="s">
        <v>18</v>
      </c>
      <c r="C12" s="7">
        <v>60</v>
      </c>
      <c r="D12" s="6" t="s">
        <v>19</v>
      </c>
    </row>
    <row r="14" spans="2:4">
      <c r="B14" s="3" t="s">
        <v>20</v>
      </c>
      <c r="C14" s="3"/>
      <c r="D14" s="3"/>
    </row>
    <row r="15" spans="2:4">
      <c r="B15" s="4" t="s">
        <v>21</v>
      </c>
      <c r="C15" s="5" t="s">
        <v>22</v>
      </c>
      <c r="D15" s="6" t="s">
        <v>23</v>
      </c>
    </row>
    <row r="16" spans="2:4">
      <c r="B16" s="4" t="s">
        <v>24</v>
      </c>
      <c r="C16" s="8">
        <v>0.42</v>
      </c>
      <c r="D16" s="6" t="s">
        <v>25</v>
      </c>
    </row>
    <row r="17" spans="2:4">
      <c r="B17" s="4" t="s">
        <v>26</v>
      </c>
      <c r="C17" s="9">
        <v>91.5</v>
      </c>
      <c r="D17" s="6" t="s">
        <v>27</v>
      </c>
    </row>
    <row r="18" spans="2:4">
      <c r="B18" s="4" t="s">
        <v>28</v>
      </c>
      <c r="C18" s="8">
        <v>0.15</v>
      </c>
      <c r="D18" s="6" t="s">
        <v>29</v>
      </c>
    </row>
    <row r="19" spans="2:4">
      <c r="B19" s="4" t="s">
        <v>30</v>
      </c>
      <c r="C19" s="7">
        <v>1</v>
      </c>
      <c r="D19" s="6" t="s">
        <v>31</v>
      </c>
    </row>
    <row r="20" spans="2:4">
      <c r="B20" s="4" t="s">
        <v>32</v>
      </c>
      <c r="C20" s="8">
        <v>0.12</v>
      </c>
      <c r="D20" s="6" t="s">
        <v>33</v>
      </c>
    </row>
    <row r="21" spans="2:4">
      <c r="B21" s="4" t="s">
        <v>34</v>
      </c>
      <c r="C21" s="7">
        <v>18</v>
      </c>
      <c r="D21" s="6" t="s">
        <v>35</v>
      </c>
    </row>
    <row r="22" spans="2:4">
      <c r="B22" s="10" t="s">
        <v>36</v>
      </c>
      <c r="C22" s="10"/>
      <c r="D22" s="10"/>
    </row>
    <row r="23" spans="2:4">
      <c r="B23" s="4" t="s">
        <v>37</v>
      </c>
      <c r="C23" s="11" t="s">
        <v>38</v>
      </c>
      <c r="D23" s="6" t="s">
        <v>39</v>
      </c>
    </row>
    <row r="24" spans="2:4">
      <c r="B24" s="4" t="s">
        <v>40</v>
      </c>
      <c r="C24" s="8">
        <v>0.25</v>
      </c>
      <c r="D24" s="6" t="s">
        <v>41</v>
      </c>
    </row>
    <row r="25" spans="2:4">
      <c r="B25" s="4" t="s">
        <v>42</v>
      </c>
      <c r="C25" s="7">
        <v>0.5</v>
      </c>
      <c r="D25" s="6" t="s">
        <v>43</v>
      </c>
    </row>
    <row r="26" spans="2:4">
      <c r="B26" s="4" t="s">
        <v>44</v>
      </c>
      <c r="C26" s="8">
        <v>0.3</v>
      </c>
      <c r="D26" s="6" t="s">
        <v>45</v>
      </c>
    </row>
    <row r="27" spans="2:4">
      <c r="B27" s="4" t="s">
        <v>46</v>
      </c>
      <c r="C27" s="7">
        <v>0.5</v>
      </c>
      <c r="D27" s="6" t="s">
        <v>47</v>
      </c>
    </row>
    <row r="29" spans="2:4">
      <c r="B29" s="3" t="s">
        <v>48</v>
      </c>
      <c r="C29" s="3"/>
      <c r="D29" s="3"/>
    </row>
    <row r="30" spans="2:4">
      <c r="B30" s="6" t="s">
        <v>49</v>
      </c>
      <c r="C30" s="6"/>
      <c r="D30" s="6"/>
    </row>
    <row r="31" spans="2:4">
      <c r="B31" s="4" t="s">
        <v>50</v>
      </c>
      <c r="C31" s="8">
        <v>0.42</v>
      </c>
      <c r="D31" s="6" t="s">
        <v>51</v>
      </c>
    </row>
    <row r="32" spans="2:4">
      <c r="B32" s="4" t="s">
        <v>52</v>
      </c>
      <c r="C32" s="8">
        <v>0.55</v>
      </c>
      <c r="D32" s="6" t="s">
        <v>53</v>
      </c>
    </row>
    <row r="33" spans="2:4">
      <c r="B33" s="4" t="s">
        <v>54</v>
      </c>
      <c r="C33" s="7">
        <v>24</v>
      </c>
      <c r="D33" s="6" t="s">
        <v>55</v>
      </c>
    </row>
    <row r="34" spans="2:4">
      <c r="B34" s="4" t="s">
        <v>56</v>
      </c>
      <c r="C34" s="7">
        <v>0</v>
      </c>
      <c r="D34" s="6" t="s">
        <v>57</v>
      </c>
    </row>
    <row r="35" spans="2:4">
      <c r="B35" s="4" t="s">
        <v>58</v>
      </c>
      <c r="C35" s="8">
        <v>0.45</v>
      </c>
      <c r="D35" s="6" t="s">
        <v>59</v>
      </c>
    </row>
    <row r="36" spans="2:4">
      <c r="B36" s="4" t="s">
        <v>60</v>
      </c>
      <c r="C36" s="8">
        <v>0.2</v>
      </c>
      <c r="D36" s="6" t="s">
        <v>61</v>
      </c>
    </row>
    <row r="37" spans="2:4">
      <c r="B37" s="4" t="s">
        <v>62</v>
      </c>
      <c r="C37" s="7">
        <v>18</v>
      </c>
      <c r="D37" s="6" t="s">
        <v>63</v>
      </c>
    </row>
    <row r="39" spans="2:4">
      <c r="B39" s="3" t="s">
        <v>64</v>
      </c>
      <c r="C39" s="3"/>
      <c r="D39" s="3"/>
    </row>
    <row r="40" spans="2:4">
      <c r="B40" s="6" t="s">
        <v>65</v>
      </c>
      <c r="C40" s="6"/>
      <c r="D40" s="6"/>
    </row>
    <row r="41" spans="2:4">
      <c r="B41" s="4" t="s">
        <v>66</v>
      </c>
      <c r="C41" s="11" t="s">
        <v>67</v>
      </c>
      <c r="D41" s="6" t="s">
        <v>68</v>
      </c>
    </row>
    <row r="42" spans="2:4">
      <c r="B42" s="4" t="s">
        <v>69</v>
      </c>
      <c r="C42" s="7">
        <v>6</v>
      </c>
      <c r="D42" s="6" t="s">
        <v>70</v>
      </c>
    </row>
    <row r="43" spans="2:4">
      <c r="B43" s="4" t="s">
        <v>71</v>
      </c>
      <c r="C43" s="7">
        <v>12</v>
      </c>
      <c r="D43" s="6" t="s">
        <v>72</v>
      </c>
    </row>
    <row r="44" spans="2:4">
      <c r="B44" s="4" t="s">
        <v>73</v>
      </c>
      <c r="C44" s="8">
        <v>0.75</v>
      </c>
      <c r="D44" s="6" t="s">
        <v>74</v>
      </c>
    </row>
    <row r="45" spans="2:4">
      <c r="B45" s="10" t="s">
        <v>75</v>
      </c>
      <c r="C45" s="10"/>
      <c r="D45" s="10"/>
    </row>
    <row r="46" spans="2:4">
      <c r="B46" s="12" t="s">
        <v>76</v>
      </c>
      <c r="C46" s="12"/>
      <c r="D46" s="12"/>
    </row>
    <row r="47" spans="2:4">
      <c r="B47" s="12" t="s">
        <v>77</v>
      </c>
      <c r="C47" s="12"/>
      <c r="D47" s="12"/>
    </row>
    <row r="48" spans="2:4">
      <c r="B48" s="12" t="s">
        <v>78</v>
      </c>
      <c r="C48" s="12"/>
      <c r="D48" s="12"/>
    </row>
    <row r="49" spans="2:6">
      <c r="B49" s="12" t="s">
        <v>79</v>
      </c>
      <c r="C49" s="12"/>
      <c r="D49" s="12"/>
    </row>
    <row r="50" spans="2:6">
      <c r="B50" s="12" t="s">
        <v>80</v>
      </c>
      <c r="C50" s="12"/>
      <c r="D50" s="12"/>
    </row>
    <row r="51" spans="2:6">
      <c r="B51" s="12" t="s">
        <v>81</v>
      </c>
      <c r="C51" s="12"/>
      <c r="D51" s="12"/>
    </row>
    <row r="53" spans="2:6">
      <c r="B53" s="3" t="s">
        <v>82</v>
      </c>
      <c r="C53" s="3"/>
      <c r="D53" s="3"/>
    </row>
    <row r="54" spans="2:6">
      <c r="B54" s="6" t="s">
        <v>83</v>
      </c>
      <c r="C54" s="6"/>
      <c r="D54" s="6"/>
    </row>
    <row r="55" spans="2:6">
      <c r="B55" s="4" t="s">
        <v>84</v>
      </c>
      <c r="C55" s="11" t="s">
        <v>67</v>
      </c>
      <c r="D55" s="6" t="s">
        <v>85</v>
      </c>
    </row>
    <row r="56" spans="2:6">
      <c r="B56" s="4" t="s">
        <v>86</v>
      </c>
      <c r="C56" s="7">
        <v>3</v>
      </c>
      <c r="D56" s="6" t="s">
        <v>87</v>
      </c>
    </row>
    <row r="57" spans="2:6">
      <c r="B57" s="4" t="s">
        <v>88</v>
      </c>
      <c r="C57" s="8">
        <v>0.5</v>
      </c>
      <c r="D57" s="6" t="s">
        <v>89</v>
      </c>
    </row>
    <row r="59" spans="2:6">
      <c r="B59" s="10" t="s">
        <v>90</v>
      </c>
      <c r="C59" s="10"/>
      <c r="D59" s="10"/>
      <c r="E59" s="10"/>
      <c r="F59" s="10"/>
    </row>
    <row r="60" spans="2:6" ht="30" customHeight="1">
      <c r="B60" s="13" t="s">
        <v>91</v>
      </c>
      <c r="C60" s="13" t="s">
        <v>92</v>
      </c>
      <c r="D60" s="13" t="s">
        <v>93</v>
      </c>
      <c r="E60" s="13" t="s">
        <v>94</v>
      </c>
      <c r="F60" s="13" t="s">
        <v>95</v>
      </c>
    </row>
    <row r="61" spans="2:6">
      <c r="B61" s="5" t="s">
        <v>96</v>
      </c>
      <c r="C61" s="7">
        <v>11.5</v>
      </c>
      <c r="D61" s="8">
        <v>0.158</v>
      </c>
      <c r="E61" s="11" t="s">
        <v>67</v>
      </c>
      <c r="F61" s="11" t="s">
        <v>97</v>
      </c>
    </row>
    <row r="62" spans="2:6">
      <c r="B62" s="5" t="s">
        <v>98</v>
      </c>
      <c r="C62" s="7">
        <v>8.699999999999999</v>
      </c>
      <c r="D62" s="8">
        <v>0.119</v>
      </c>
      <c r="E62" s="11" t="s">
        <v>67</v>
      </c>
      <c r="F62" s="11" t="s">
        <v>97</v>
      </c>
    </row>
    <row r="63" spans="2:6">
      <c r="B63" s="5" t="s">
        <v>99</v>
      </c>
      <c r="C63" s="7">
        <v>5.5</v>
      </c>
      <c r="D63" s="8">
        <v>0.075</v>
      </c>
      <c r="E63" s="11" t="s">
        <v>67</v>
      </c>
      <c r="F63" s="11" t="s">
        <v>97</v>
      </c>
    </row>
    <row r="64" spans="2:6">
      <c r="B64" s="5" t="s">
        <v>100</v>
      </c>
      <c r="C64" s="7">
        <v>4.6</v>
      </c>
      <c r="D64" s="8">
        <v>0.063</v>
      </c>
      <c r="E64" s="11" t="s">
        <v>38</v>
      </c>
      <c r="F64" s="11" t="s">
        <v>101</v>
      </c>
    </row>
    <row r="65" spans="2:6">
      <c r="B65" s="5" t="s">
        <v>102</v>
      </c>
      <c r="C65" s="7">
        <v>4.5</v>
      </c>
      <c r="D65" s="8">
        <v>0.062</v>
      </c>
      <c r="E65" s="11" t="s">
        <v>38</v>
      </c>
      <c r="F65" s="11" t="s">
        <v>101</v>
      </c>
    </row>
    <row r="66" spans="2:6">
      <c r="B66" s="5" t="s">
        <v>103</v>
      </c>
      <c r="C66" s="7">
        <v>26.8</v>
      </c>
      <c r="D66" s="8">
        <v>0.368</v>
      </c>
      <c r="E66" s="11" t="s">
        <v>38</v>
      </c>
      <c r="F66" s="11" t="s">
        <v>104</v>
      </c>
    </row>
    <row r="67" spans="2:6">
      <c r="B67" s="10" t="s">
        <v>105</v>
      </c>
      <c r="C67" s="10"/>
      <c r="D67" s="10"/>
      <c r="E67" s="10"/>
      <c r="F67" s="10"/>
    </row>
    <row r="68" spans="2:6">
      <c r="B68" s="12" t="s">
        <v>106</v>
      </c>
      <c r="C68" s="12"/>
      <c r="D68" s="12"/>
      <c r="E68" s="12"/>
      <c r="F68" s="12"/>
    </row>
    <row r="69" spans="2:6">
      <c r="B69" s="12" t="s">
        <v>107</v>
      </c>
      <c r="C69" s="12"/>
      <c r="D69" s="12"/>
      <c r="E69" s="12"/>
      <c r="F69" s="12"/>
    </row>
    <row r="70" spans="2:6">
      <c r="B70" s="12" t="s">
        <v>108</v>
      </c>
      <c r="C70" s="12"/>
      <c r="D70" s="12"/>
      <c r="E70" s="12"/>
      <c r="F70" s="12"/>
    </row>
    <row r="71" spans="2:6">
      <c r="B71" s="12" t="s">
        <v>109</v>
      </c>
      <c r="C71" s="12"/>
      <c r="D71" s="12"/>
      <c r="E71" s="12"/>
      <c r="F71" s="12"/>
    </row>
    <row r="72" spans="2:6">
      <c r="B72" s="12" t="s">
        <v>110</v>
      </c>
      <c r="C72" s="12"/>
      <c r="D72" s="12"/>
      <c r="E72" s="12"/>
      <c r="F72" s="12"/>
    </row>
    <row r="73" spans="2:6">
      <c r="B73" s="12" t="s">
        <v>111</v>
      </c>
      <c r="C73" s="12"/>
      <c r="D73" s="12"/>
      <c r="E73" s="12"/>
      <c r="F73" s="12"/>
    </row>
    <row r="75" spans="2:6">
      <c r="B75" s="3" t="s">
        <v>112</v>
      </c>
      <c r="C75" s="3"/>
      <c r="D75" s="3"/>
    </row>
    <row r="76" spans="2:6">
      <c r="B76" s="4" t="s">
        <v>113</v>
      </c>
      <c r="C76" s="8">
        <v>0.25</v>
      </c>
      <c r="D76" s="6" t="s">
        <v>114</v>
      </c>
    </row>
    <row r="77" spans="2:6">
      <c r="B77" s="4" t="s">
        <v>115</v>
      </c>
      <c r="C77" s="7">
        <v>150000</v>
      </c>
      <c r="D77" s="6" t="s">
        <v>116</v>
      </c>
    </row>
    <row r="78" spans="2:6">
      <c r="B78" s="4" t="s">
        <v>117</v>
      </c>
      <c r="C78" s="7">
        <v>500000</v>
      </c>
      <c r="D78" s="6" t="s">
        <v>118</v>
      </c>
    </row>
    <row r="79" spans="2:6">
      <c r="B79" s="4" t="s">
        <v>119</v>
      </c>
      <c r="C79" s="7">
        <v>50000</v>
      </c>
      <c r="D79" s="6" t="s">
        <v>120</v>
      </c>
    </row>
    <row r="81" spans="2:5">
      <c r="B81" s="3" t="s">
        <v>121</v>
      </c>
      <c r="C81" s="3"/>
      <c r="D81" s="3"/>
      <c r="E81" s="3"/>
    </row>
    <row r="82" spans="2:5">
      <c r="B82" s="13" t="s">
        <v>122</v>
      </c>
      <c r="C82" s="13" t="s">
        <v>123</v>
      </c>
      <c r="D82" s="13" t="s">
        <v>124</v>
      </c>
      <c r="E82" s="13" t="s">
        <v>125</v>
      </c>
    </row>
    <row r="83" spans="2:5">
      <c r="B83" s="4" t="s">
        <v>126</v>
      </c>
      <c r="C83" s="8">
        <v>0.2</v>
      </c>
      <c r="D83" s="8">
        <v>0.15</v>
      </c>
      <c r="E83" s="8">
        <v>0.1</v>
      </c>
    </row>
    <row r="84" spans="2:5">
      <c r="B84" s="4" t="s">
        <v>30</v>
      </c>
      <c r="C84" s="8">
        <v>0.7</v>
      </c>
      <c r="D84" s="8">
        <v>1</v>
      </c>
      <c r="E84" s="8">
        <v>1.3</v>
      </c>
    </row>
    <row r="85" spans="2:5">
      <c r="B85" s="4" t="s">
        <v>127</v>
      </c>
      <c r="C85" s="8">
        <v>0.18</v>
      </c>
      <c r="D85" s="8">
        <v>0.12</v>
      </c>
      <c r="E85" s="8">
        <v>0.08</v>
      </c>
    </row>
    <row r="86" spans="2:5">
      <c r="B86" s="4" t="s">
        <v>128</v>
      </c>
      <c r="C86" s="8">
        <v>0.6</v>
      </c>
      <c r="D86" s="8">
        <v>0.75</v>
      </c>
      <c r="E86" s="8">
        <v>0.85</v>
      </c>
    </row>
    <row r="87" spans="2:5">
      <c r="B87" s="4" t="s">
        <v>60</v>
      </c>
      <c r="C87" s="8">
        <v>0.1</v>
      </c>
      <c r="D87" s="8">
        <v>0.2</v>
      </c>
      <c r="E87" s="8">
        <v>0.3</v>
      </c>
    </row>
    <row r="88" spans="2:5">
      <c r="B88" s="4" t="s">
        <v>129</v>
      </c>
      <c r="C88" s="8">
        <v>0.4</v>
      </c>
      <c r="D88" s="8">
        <v>0.55</v>
      </c>
      <c r="E88" s="8">
        <v>0.65</v>
      </c>
    </row>
    <row r="89" spans="2:5">
      <c r="B89" s="4" t="s">
        <v>130</v>
      </c>
      <c r="C89" s="8">
        <v>0.35</v>
      </c>
      <c r="D89" s="8">
        <v>0.45</v>
      </c>
      <c r="E89" s="8">
        <v>0.5</v>
      </c>
    </row>
    <row r="90" spans="2:5">
      <c r="B90" s="4" t="s">
        <v>131</v>
      </c>
      <c r="C90" s="8">
        <v>0.01</v>
      </c>
      <c r="D90" s="8">
        <v>0.02</v>
      </c>
      <c r="E90" s="8">
        <v>0.03</v>
      </c>
    </row>
    <row r="91" spans="2:5">
      <c r="B91" s="4" t="s">
        <v>132</v>
      </c>
      <c r="C91" s="5" t="s">
        <v>133</v>
      </c>
      <c r="D91" s="5" t="s">
        <v>134</v>
      </c>
      <c r="E91" s="5" t="s">
        <v>135</v>
      </c>
    </row>
  </sheetData>
  <mergeCells count="28">
    <mergeCell ref="B2:D2"/>
    <mergeCell ref="B3:D3"/>
    <mergeCell ref="B5:D5"/>
    <mergeCell ref="B14:D14"/>
    <mergeCell ref="B22:D22"/>
    <mergeCell ref="B29:D29"/>
    <mergeCell ref="B30:D30"/>
    <mergeCell ref="B39:D39"/>
    <mergeCell ref="B40:D40"/>
    <mergeCell ref="B45:D45"/>
    <mergeCell ref="B46:D46"/>
    <mergeCell ref="B47:D47"/>
    <mergeCell ref="B48:D48"/>
    <mergeCell ref="B49:D49"/>
    <mergeCell ref="B50:D50"/>
    <mergeCell ref="B51:D51"/>
    <mergeCell ref="B53:D53"/>
    <mergeCell ref="B54:D54"/>
    <mergeCell ref="B59:F59"/>
    <mergeCell ref="B67:F67"/>
    <mergeCell ref="B68:F68"/>
    <mergeCell ref="B69:F69"/>
    <mergeCell ref="B70:F70"/>
    <mergeCell ref="B71:F71"/>
    <mergeCell ref="B72:F72"/>
    <mergeCell ref="B73:F73"/>
    <mergeCell ref="B75:D75"/>
    <mergeCell ref="B81:E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G18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7" width="18.7109375" customWidth="1"/>
  </cols>
  <sheetData>
    <row r="2" spans="2:7">
      <c r="B2" s="1" t="s">
        <v>136</v>
      </c>
      <c r="C2" s="1"/>
      <c r="D2" s="1"/>
      <c r="E2" s="1"/>
      <c r="F2" s="1"/>
      <c r="G2" s="1"/>
    </row>
    <row r="4" spans="2:7">
      <c r="B4" s="13" t="s">
        <v>137</v>
      </c>
      <c r="C4" s="13" t="s">
        <v>138</v>
      </c>
      <c r="D4" s="13" t="s">
        <v>139</v>
      </c>
      <c r="E4" s="13" t="s">
        <v>140</v>
      </c>
      <c r="F4" s="13" t="s">
        <v>141</v>
      </c>
      <c r="G4" s="13" t="s">
        <v>142</v>
      </c>
    </row>
    <row r="5" spans="2:7">
      <c r="B5" s="4" t="s">
        <v>143</v>
      </c>
      <c r="C5" s="12" t="s">
        <v>144</v>
      </c>
      <c r="D5" s="14">
        <v>0.42</v>
      </c>
      <c r="E5" s="15">
        <v>91.5</v>
      </c>
      <c r="F5" s="16">
        <v>161000000</v>
      </c>
      <c r="G5" s="12" t="s">
        <v>10</v>
      </c>
    </row>
    <row r="6" spans="2:7">
      <c r="B6" s="4" t="s">
        <v>145</v>
      </c>
      <c r="C6" s="12" t="s">
        <v>146</v>
      </c>
      <c r="D6" s="14">
        <v>0.35</v>
      </c>
      <c r="E6" s="15">
        <v>87.8</v>
      </c>
      <c r="F6" s="16">
        <v>129000000</v>
      </c>
      <c r="G6" s="12" t="s">
        <v>147</v>
      </c>
    </row>
    <row r="7" spans="2:7">
      <c r="B7" s="4" t="s">
        <v>148</v>
      </c>
      <c r="C7" s="12" t="s">
        <v>149</v>
      </c>
      <c r="D7" s="14">
        <v>0.15</v>
      </c>
      <c r="E7" s="15">
        <v>74.2</v>
      </c>
      <c r="F7" s="16">
        <v>47000000</v>
      </c>
      <c r="G7" s="12" t="s">
        <v>150</v>
      </c>
    </row>
    <row r="8" spans="2:7">
      <c r="B8" s="4" t="s">
        <v>151</v>
      </c>
      <c r="C8" s="12" t="s">
        <v>152</v>
      </c>
      <c r="D8" s="14">
        <v>0.08</v>
      </c>
      <c r="E8" s="15">
        <v>64</v>
      </c>
      <c r="F8" s="16">
        <v>21500000</v>
      </c>
      <c r="G8" s="12" t="s">
        <v>153</v>
      </c>
    </row>
    <row r="9" spans="2:7">
      <c r="B9" s="4" t="s">
        <v>154</v>
      </c>
      <c r="D9" s="14">
        <v>1</v>
      </c>
      <c r="F9" s="16">
        <v>285000000</v>
      </c>
    </row>
    <row r="12" spans="2:7">
      <c r="B12" s="3" t="s">
        <v>155</v>
      </c>
      <c r="C12" s="3"/>
      <c r="D12" s="3"/>
      <c r="E12" s="3"/>
      <c r="F12" s="3"/>
      <c r="G12" s="3"/>
    </row>
    <row r="13" spans="2:7">
      <c r="B13" s="4" t="s">
        <v>156</v>
      </c>
      <c r="C13" s="12" t="s">
        <v>157</v>
      </c>
      <c r="D13" s="12"/>
      <c r="E13" s="12"/>
      <c r="F13" s="12"/>
      <c r="G13" s="12"/>
    </row>
    <row r="14" spans="2:7">
      <c r="B14" s="4" t="s">
        <v>158</v>
      </c>
      <c r="C14" s="12" t="s">
        <v>159</v>
      </c>
      <c r="D14" s="12"/>
      <c r="E14" s="12"/>
      <c r="F14" s="12"/>
      <c r="G14" s="12"/>
    </row>
    <row r="15" spans="2:7">
      <c r="B15" s="4" t="s">
        <v>160</v>
      </c>
      <c r="C15" s="12" t="s">
        <v>161</v>
      </c>
      <c r="D15" s="12"/>
      <c r="E15" s="12"/>
      <c r="F15" s="12"/>
      <c r="G15" s="12"/>
    </row>
    <row r="16" spans="2:7">
      <c r="B16" s="4" t="s">
        <v>162</v>
      </c>
      <c r="C16" s="12" t="s">
        <v>163</v>
      </c>
      <c r="D16" s="12"/>
      <c r="E16" s="12"/>
      <c r="F16" s="12"/>
      <c r="G16" s="12"/>
    </row>
    <row r="17" spans="2:7">
      <c r="B17" s="4" t="s">
        <v>164</v>
      </c>
      <c r="C17" s="12" t="s">
        <v>165</v>
      </c>
      <c r="D17" s="12"/>
      <c r="E17" s="12"/>
      <c r="F17" s="12"/>
      <c r="G17" s="12"/>
    </row>
    <row r="18" spans="2:7">
      <c r="B18" s="4" t="s">
        <v>166</v>
      </c>
      <c r="C18" s="12" t="s">
        <v>167</v>
      </c>
      <c r="D18" s="12"/>
      <c r="E18" s="12"/>
      <c r="F18" s="12"/>
      <c r="G18" s="12"/>
    </row>
  </sheetData>
  <mergeCells count="8">
    <mergeCell ref="B2:G2"/>
    <mergeCell ref="B12:G12"/>
    <mergeCell ref="C13:G13"/>
    <mergeCell ref="C14:G14"/>
    <mergeCell ref="C15:G15"/>
    <mergeCell ref="C16:G16"/>
    <mergeCell ref="C17:G17"/>
    <mergeCell ref="C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C2626"/>
  </sheetPr>
  <dimension ref="B2:L8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4" width="16.7109375" customWidth="1"/>
  </cols>
  <sheetData>
    <row r="2" spans="2:12">
      <c r="B2" s="1" t="s">
        <v>168</v>
      </c>
      <c r="C2" s="1"/>
      <c r="D2" s="1"/>
      <c r="E2" s="1"/>
      <c r="F2" s="1"/>
      <c r="G2" s="1"/>
      <c r="H2" s="1"/>
      <c r="I2" s="1"/>
      <c r="J2" s="1"/>
      <c r="K2" s="1"/>
    </row>
    <row r="4" spans="2:12">
      <c r="B4" s="17" t="s">
        <v>169</v>
      </c>
      <c r="C4" s="17"/>
      <c r="D4" s="17" t="s">
        <v>170</v>
      </c>
      <c r="E4" s="17"/>
      <c r="F4" s="17" t="s">
        <v>171</v>
      </c>
      <c r="G4" s="17"/>
      <c r="H4" s="17" t="s">
        <v>172</v>
      </c>
      <c r="I4" s="17"/>
    </row>
    <row r="5" spans="2:12">
      <c r="B5" s="18">
        <v>1952761432.5</v>
      </c>
      <c r="C5" s="18"/>
      <c r="D5" s="18">
        <v>1112634932.05</v>
      </c>
      <c r="E5" s="18"/>
      <c r="F5" s="18">
        <v>7161575518.4</v>
      </c>
      <c r="G5" s="18"/>
      <c r="H5" s="19">
        <v>-0.4302248531068324</v>
      </c>
      <c r="I5" s="19"/>
    </row>
    <row r="8" spans="2:12" ht="35" customHeight="1">
      <c r="B8" s="20" t="s">
        <v>173</v>
      </c>
      <c r="C8" s="20" t="s">
        <v>174</v>
      </c>
      <c r="D8" s="20" t="s">
        <v>175</v>
      </c>
      <c r="E8" s="20" t="s">
        <v>176</v>
      </c>
      <c r="F8" s="20" t="s">
        <v>177</v>
      </c>
      <c r="G8" s="20" t="s">
        <v>178</v>
      </c>
      <c r="H8" s="20" t="s">
        <v>179</v>
      </c>
      <c r="I8" s="20" t="s">
        <v>180</v>
      </c>
      <c r="J8" s="20" t="s">
        <v>181</v>
      </c>
      <c r="K8" s="20" t="s">
        <v>182</v>
      </c>
      <c r="L8" s="20" t="s">
        <v>183</v>
      </c>
    </row>
    <row r="9" spans="2:12">
      <c r="B9" t="s">
        <v>184</v>
      </c>
      <c r="C9" s="21">
        <v>-12</v>
      </c>
      <c r="D9" s="21">
        <v>4200000</v>
      </c>
      <c r="E9" s="21">
        <v>1767839</v>
      </c>
      <c r="F9" s="14">
        <v>0.4209</v>
      </c>
      <c r="G9" s="14">
        <v>0</v>
      </c>
      <c r="H9" s="15">
        <v>91.5</v>
      </c>
      <c r="I9" s="16">
        <v>161757268.5</v>
      </c>
      <c r="J9" s="21">
        <v>0</v>
      </c>
      <c r="K9" s="16">
        <v>0</v>
      </c>
      <c r="L9" s="16">
        <v>0</v>
      </c>
    </row>
    <row r="10" spans="2:12">
      <c r="B10" s="22" t="s">
        <v>185</v>
      </c>
      <c r="C10" s="23">
        <v>-11</v>
      </c>
      <c r="D10" s="23">
        <v>4207000</v>
      </c>
      <c r="E10" s="23">
        <v>1753814</v>
      </c>
      <c r="F10" s="24">
        <v>0.4169</v>
      </c>
      <c r="G10" s="24">
        <v>0</v>
      </c>
      <c r="H10" s="25">
        <v>91.5</v>
      </c>
      <c r="I10" s="25">
        <v>160473981</v>
      </c>
      <c r="J10" s="23">
        <v>0</v>
      </c>
      <c r="K10" s="25">
        <v>0</v>
      </c>
      <c r="L10" s="25">
        <v>0</v>
      </c>
    </row>
    <row r="11" spans="2:12">
      <c r="B11" t="s">
        <v>186</v>
      </c>
      <c r="C11" s="21">
        <v>-10</v>
      </c>
      <c r="D11" s="21">
        <v>4214011</v>
      </c>
      <c r="E11" s="21">
        <v>1779372</v>
      </c>
      <c r="F11" s="14">
        <v>0.4223</v>
      </c>
      <c r="G11" s="14">
        <v>0</v>
      </c>
      <c r="H11" s="15">
        <v>91.5</v>
      </c>
      <c r="I11" s="16">
        <v>162812538</v>
      </c>
      <c r="J11" s="21">
        <v>0</v>
      </c>
      <c r="K11" s="16">
        <v>0</v>
      </c>
      <c r="L11" s="16">
        <v>0</v>
      </c>
    </row>
    <row r="12" spans="2:12">
      <c r="B12" s="22" t="s">
        <v>187</v>
      </c>
      <c r="C12" s="23">
        <v>-9</v>
      </c>
      <c r="D12" s="23">
        <v>4221035</v>
      </c>
      <c r="E12" s="23">
        <v>1784745</v>
      </c>
      <c r="F12" s="24">
        <v>0.4228</v>
      </c>
      <c r="G12" s="24">
        <v>0</v>
      </c>
      <c r="H12" s="25">
        <v>91.5</v>
      </c>
      <c r="I12" s="25">
        <v>163304167.5</v>
      </c>
      <c r="J12" s="23">
        <v>0</v>
      </c>
      <c r="K12" s="25">
        <v>0</v>
      </c>
      <c r="L12" s="25">
        <v>0</v>
      </c>
    </row>
    <row r="13" spans="2:12">
      <c r="B13" t="s">
        <v>188</v>
      </c>
      <c r="C13" s="21">
        <v>-8</v>
      </c>
      <c r="D13" s="21">
        <v>4228070</v>
      </c>
      <c r="E13" s="21">
        <v>1751042</v>
      </c>
      <c r="F13" s="14">
        <v>0.4141</v>
      </c>
      <c r="G13" s="14">
        <v>0</v>
      </c>
      <c r="H13" s="15">
        <v>91.5</v>
      </c>
      <c r="I13" s="16">
        <v>160220343</v>
      </c>
      <c r="J13" s="21">
        <v>0</v>
      </c>
      <c r="K13" s="16">
        <v>0</v>
      </c>
      <c r="L13" s="16">
        <v>0</v>
      </c>
    </row>
    <row r="14" spans="2:12">
      <c r="B14" s="22" t="s">
        <v>189</v>
      </c>
      <c r="C14" s="23">
        <v>-7</v>
      </c>
      <c r="D14" s="23">
        <v>4235116</v>
      </c>
      <c r="E14" s="23">
        <v>1762204</v>
      </c>
      <c r="F14" s="24">
        <v>0.4161</v>
      </c>
      <c r="G14" s="24">
        <v>0</v>
      </c>
      <c r="H14" s="25">
        <v>91.5</v>
      </c>
      <c r="I14" s="25">
        <v>161241666</v>
      </c>
      <c r="J14" s="23">
        <v>0</v>
      </c>
      <c r="K14" s="25">
        <v>0</v>
      </c>
      <c r="L14" s="25">
        <v>0</v>
      </c>
    </row>
    <row r="15" spans="2:12">
      <c r="B15" t="s">
        <v>190</v>
      </c>
      <c r="C15" s="21">
        <v>-6</v>
      </c>
      <c r="D15" s="21">
        <v>4242175</v>
      </c>
      <c r="E15" s="21">
        <v>1783340</v>
      </c>
      <c r="F15" s="14">
        <v>0.4204</v>
      </c>
      <c r="G15" s="14">
        <v>0</v>
      </c>
      <c r="H15" s="15">
        <v>91.5</v>
      </c>
      <c r="I15" s="16">
        <v>163175610</v>
      </c>
      <c r="J15" s="21">
        <v>0</v>
      </c>
      <c r="K15" s="16">
        <v>0</v>
      </c>
      <c r="L15" s="16">
        <v>0</v>
      </c>
    </row>
    <row r="16" spans="2:12">
      <c r="B16" s="22" t="s">
        <v>191</v>
      </c>
      <c r="C16" s="23">
        <v>-5</v>
      </c>
      <c r="D16" s="23">
        <v>4249245</v>
      </c>
      <c r="E16" s="23">
        <v>1780651</v>
      </c>
      <c r="F16" s="24">
        <v>0.4191</v>
      </c>
      <c r="G16" s="24">
        <v>0</v>
      </c>
      <c r="H16" s="25">
        <v>91.5</v>
      </c>
      <c r="I16" s="25">
        <v>162929566.5</v>
      </c>
      <c r="J16" s="23">
        <v>0</v>
      </c>
      <c r="K16" s="25">
        <v>0</v>
      </c>
      <c r="L16" s="25">
        <v>0</v>
      </c>
    </row>
    <row r="17" spans="2:12">
      <c r="B17" t="s">
        <v>192</v>
      </c>
      <c r="C17" s="21">
        <v>-4</v>
      </c>
      <c r="D17" s="21">
        <v>4256327</v>
      </c>
      <c r="E17" s="21">
        <v>1787443</v>
      </c>
      <c r="F17" s="14">
        <v>0.4199</v>
      </c>
      <c r="G17" s="14">
        <v>0</v>
      </c>
      <c r="H17" s="15">
        <v>91.5</v>
      </c>
      <c r="I17" s="16">
        <v>163551034.5</v>
      </c>
      <c r="J17" s="21">
        <v>0</v>
      </c>
      <c r="K17" s="16">
        <v>0</v>
      </c>
      <c r="L17" s="16">
        <v>0</v>
      </c>
    </row>
    <row r="18" spans="2:12">
      <c r="B18" s="22" t="s">
        <v>193</v>
      </c>
      <c r="C18" s="23">
        <v>-3</v>
      </c>
      <c r="D18" s="23">
        <v>4263421</v>
      </c>
      <c r="E18" s="23">
        <v>1779726</v>
      </c>
      <c r="F18" s="24">
        <v>0.4174</v>
      </c>
      <c r="G18" s="24">
        <v>0</v>
      </c>
      <c r="H18" s="25">
        <v>91.5</v>
      </c>
      <c r="I18" s="25">
        <v>162844929</v>
      </c>
      <c r="J18" s="23">
        <v>0</v>
      </c>
      <c r="K18" s="25">
        <v>0</v>
      </c>
      <c r="L18" s="25">
        <v>0</v>
      </c>
    </row>
    <row r="19" spans="2:12">
      <c r="B19" t="s">
        <v>194</v>
      </c>
      <c r="C19" s="21">
        <v>-2</v>
      </c>
      <c r="D19" s="21">
        <v>4270527</v>
      </c>
      <c r="E19" s="21">
        <v>1804887</v>
      </c>
      <c r="F19" s="14">
        <v>0.4226</v>
      </c>
      <c r="G19" s="14">
        <v>0</v>
      </c>
      <c r="H19" s="15">
        <v>91.5</v>
      </c>
      <c r="I19" s="16">
        <v>165147160.5</v>
      </c>
      <c r="J19" s="21">
        <v>0</v>
      </c>
      <c r="K19" s="16">
        <v>0</v>
      </c>
      <c r="L19" s="16">
        <v>0</v>
      </c>
    </row>
    <row r="20" spans="2:12">
      <c r="B20" s="22" t="s">
        <v>195</v>
      </c>
      <c r="C20" s="23">
        <v>-1</v>
      </c>
      <c r="D20" s="23">
        <v>4277644</v>
      </c>
      <c r="E20" s="23">
        <v>1806592</v>
      </c>
      <c r="F20" s="24">
        <v>0.4223</v>
      </c>
      <c r="G20" s="24">
        <v>0</v>
      </c>
      <c r="H20" s="25">
        <v>91.5</v>
      </c>
      <c r="I20" s="25">
        <v>165303168</v>
      </c>
      <c r="J20" s="23">
        <v>0</v>
      </c>
      <c r="K20" s="25">
        <v>0</v>
      </c>
      <c r="L20" s="25">
        <v>0</v>
      </c>
    </row>
    <row r="21" spans="2:12">
      <c r="B21" t="s">
        <v>196</v>
      </c>
      <c r="C21" s="21">
        <v>0</v>
      </c>
      <c r="D21" s="21">
        <v>4284774</v>
      </c>
      <c r="E21" s="21">
        <v>1799605</v>
      </c>
      <c r="F21" s="14">
        <v>0.42</v>
      </c>
      <c r="G21" s="14">
        <v>0</v>
      </c>
      <c r="H21" s="15">
        <v>91.5</v>
      </c>
      <c r="I21" s="16">
        <v>164663857.5</v>
      </c>
      <c r="J21" s="21">
        <v>0</v>
      </c>
      <c r="K21" s="16">
        <v>0</v>
      </c>
      <c r="L21" s="16">
        <v>0</v>
      </c>
    </row>
    <row r="22" spans="2:12">
      <c r="B22" s="22" t="s">
        <v>197</v>
      </c>
      <c r="C22" s="23">
        <v>1</v>
      </c>
      <c r="D22" s="23">
        <v>4291915</v>
      </c>
      <c r="E22" s="23">
        <v>1605196</v>
      </c>
      <c r="F22" s="24">
        <v>0.374</v>
      </c>
      <c r="G22" s="24">
        <v>0</v>
      </c>
      <c r="H22" s="25">
        <v>89.20999999999999</v>
      </c>
      <c r="I22" s="25">
        <v>143199535.16</v>
      </c>
      <c r="J22" s="23">
        <v>167796</v>
      </c>
      <c r="K22" s="25">
        <v>21738730.84</v>
      </c>
      <c r="L22" s="25">
        <v>21738730.84</v>
      </c>
    </row>
    <row r="23" spans="2:12">
      <c r="B23" t="s">
        <v>198</v>
      </c>
      <c r="C23" s="21">
        <v>2</v>
      </c>
      <c r="D23" s="21">
        <v>4299068</v>
      </c>
      <c r="E23" s="21">
        <v>1440451</v>
      </c>
      <c r="F23" s="14">
        <v>0.3351</v>
      </c>
      <c r="G23" s="14">
        <v>0</v>
      </c>
      <c r="H23" s="15">
        <v>86.92</v>
      </c>
      <c r="I23" s="16">
        <v>125204000.92</v>
      </c>
      <c r="J23" s="21">
        <v>310383</v>
      </c>
      <c r="K23" s="16">
        <v>40009131.08</v>
      </c>
      <c r="L23" s="16">
        <v>61747861.92</v>
      </c>
    </row>
    <row r="24" spans="2:12">
      <c r="B24" s="22" t="s">
        <v>199</v>
      </c>
      <c r="C24" s="23">
        <v>3</v>
      </c>
      <c r="D24" s="23">
        <v>4306233</v>
      </c>
      <c r="E24" s="23">
        <v>1300864</v>
      </c>
      <c r="F24" s="24">
        <v>0.3021</v>
      </c>
      <c r="G24" s="24">
        <v>0</v>
      </c>
      <c r="H24" s="25">
        <v>84.64</v>
      </c>
      <c r="I24" s="25">
        <v>110105128.96</v>
      </c>
      <c r="J24" s="23">
        <v>431590</v>
      </c>
      <c r="K24" s="25">
        <v>55383418.04</v>
      </c>
      <c r="L24" s="25">
        <v>117131279.96</v>
      </c>
    </row>
    <row r="25" spans="2:12">
      <c r="B25" t="s">
        <v>200</v>
      </c>
      <c r="C25" s="21">
        <v>4</v>
      </c>
      <c r="D25" s="21">
        <v>4313410</v>
      </c>
      <c r="E25" s="21">
        <v>1182613</v>
      </c>
      <c r="F25" s="14">
        <v>0.2742</v>
      </c>
      <c r="G25" s="14">
        <v>0</v>
      </c>
      <c r="H25" s="15">
        <v>82.34999999999999</v>
      </c>
      <c r="I25" s="16">
        <v>97388180.55</v>
      </c>
      <c r="J25" s="21">
        <v>534666</v>
      </c>
      <c r="K25" s="16">
        <v>68376147.45</v>
      </c>
      <c r="L25" s="16">
        <v>185507427.41</v>
      </c>
    </row>
    <row r="26" spans="2:12">
      <c r="B26" s="22" t="s">
        <v>201</v>
      </c>
      <c r="C26" s="23">
        <v>5</v>
      </c>
      <c r="D26" s="23">
        <v>4320599</v>
      </c>
      <c r="E26" s="23">
        <v>1082457</v>
      </c>
      <c r="F26" s="24">
        <v>0.2505</v>
      </c>
      <c r="G26" s="24">
        <v>0</v>
      </c>
      <c r="H26" s="25">
        <v>80.06</v>
      </c>
      <c r="I26" s="25">
        <v>86661507.42</v>
      </c>
      <c r="J26" s="23">
        <v>622365</v>
      </c>
      <c r="K26" s="25">
        <v>79379059.08</v>
      </c>
      <c r="L26" s="25">
        <v>264886486.49</v>
      </c>
    </row>
    <row r="27" spans="2:12">
      <c r="B27" t="s">
        <v>202</v>
      </c>
      <c r="C27" s="21">
        <v>6</v>
      </c>
      <c r="D27" s="21">
        <v>4327800</v>
      </c>
      <c r="E27" s="21">
        <v>997648</v>
      </c>
      <c r="F27" s="14">
        <v>0.2305</v>
      </c>
      <c r="G27" s="14">
        <v>0</v>
      </c>
      <c r="H27" s="15">
        <v>77.77</v>
      </c>
      <c r="I27" s="16">
        <v>77587084.95999999</v>
      </c>
      <c r="J27" s="21">
        <v>697023</v>
      </c>
      <c r="K27" s="16">
        <v>88730269.04000001</v>
      </c>
      <c r="L27" s="16">
        <v>353616755.53</v>
      </c>
    </row>
    <row r="28" spans="2:12">
      <c r="B28" s="22" t="s">
        <v>203</v>
      </c>
      <c r="C28" s="23">
        <v>7</v>
      </c>
      <c r="D28" s="23">
        <v>4335013</v>
      </c>
      <c r="E28" s="23">
        <v>910643</v>
      </c>
      <c r="F28" s="24">
        <v>0.2101</v>
      </c>
      <c r="G28" s="24">
        <v>0.125</v>
      </c>
      <c r="H28" s="25">
        <v>77.77</v>
      </c>
      <c r="I28" s="25">
        <v>70820706.11</v>
      </c>
      <c r="J28" s="23">
        <v>773552</v>
      </c>
      <c r="K28" s="25">
        <v>95773801.39</v>
      </c>
      <c r="L28" s="25">
        <v>449390556.92</v>
      </c>
    </row>
    <row r="29" spans="2:12">
      <c r="B29" t="s">
        <v>204</v>
      </c>
      <c r="C29" s="21">
        <v>8</v>
      </c>
      <c r="D29" s="21">
        <v>4342238</v>
      </c>
      <c r="E29" s="21">
        <v>839298</v>
      </c>
      <c r="F29" s="14">
        <v>0.1933</v>
      </c>
      <c r="G29" s="14">
        <v>0.25</v>
      </c>
      <c r="H29" s="15">
        <v>77.77</v>
      </c>
      <c r="I29" s="16">
        <v>65272205.46</v>
      </c>
      <c r="J29" s="21">
        <v>836775</v>
      </c>
      <c r="K29" s="16">
        <v>101600004.54</v>
      </c>
      <c r="L29" s="16">
        <v>550990561.46</v>
      </c>
    </row>
    <row r="30" spans="2:12">
      <c r="B30" s="22" t="s">
        <v>205</v>
      </c>
      <c r="C30" s="23">
        <v>9</v>
      </c>
      <c r="D30" s="23">
        <v>4349476</v>
      </c>
      <c r="E30" s="23">
        <v>780884</v>
      </c>
      <c r="F30" s="24">
        <v>0.1795</v>
      </c>
      <c r="G30" s="24">
        <v>0.375</v>
      </c>
      <c r="H30" s="25">
        <v>77.77</v>
      </c>
      <c r="I30" s="25">
        <v>60729348.68</v>
      </c>
      <c r="J30" s="23">
        <v>889011</v>
      </c>
      <c r="K30" s="25">
        <v>106420929.82</v>
      </c>
      <c r="L30" s="25">
        <v>657411491.28</v>
      </c>
    </row>
    <row r="31" spans="2:12">
      <c r="B31" t="s">
        <v>206</v>
      </c>
      <c r="C31" s="21">
        <v>10</v>
      </c>
      <c r="D31" s="21">
        <v>4356725</v>
      </c>
      <c r="E31" s="21">
        <v>733139</v>
      </c>
      <c r="F31" s="14">
        <v>0.1683</v>
      </c>
      <c r="G31" s="14">
        <v>0.5</v>
      </c>
      <c r="H31" s="15">
        <v>77.77</v>
      </c>
      <c r="I31" s="16">
        <v>57016220.03</v>
      </c>
      <c r="J31" s="21">
        <v>932182</v>
      </c>
      <c r="K31" s="16">
        <v>110412675.97</v>
      </c>
      <c r="L31" s="16">
        <v>767824167.25</v>
      </c>
    </row>
    <row r="32" spans="2:12">
      <c r="B32" s="22" t="s">
        <v>207</v>
      </c>
      <c r="C32" s="23">
        <v>11</v>
      </c>
      <c r="D32" s="23">
        <v>4363986</v>
      </c>
      <c r="E32" s="23">
        <v>694190</v>
      </c>
      <c r="F32" s="24">
        <v>0.1591</v>
      </c>
      <c r="G32" s="24">
        <v>0.625</v>
      </c>
      <c r="H32" s="25">
        <v>77.77</v>
      </c>
      <c r="I32" s="25">
        <v>53987156.3</v>
      </c>
      <c r="J32" s="23">
        <v>967881</v>
      </c>
      <c r="K32" s="25">
        <v>113720814.7</v>
      </c>
      <c r="L32" s="25">
        <v>881544981.95</v>
      </c>
    </row>
    <row r="33" spans="2:12">
      <c r="B33" t="s">
        <v>208</v>
      </c>
      <c r="C33" s="21">
        <v>12</v>
      </c>
      <c r="D33" s="21">
        <v>4371259</v>
      </c>
      <c r="E33" s="21">
        <v>662486</v>
      </c>
      <c r="F33" s="14">
        <v>0.1516</v>
      </c>
      <c r="G33" s="14">
        <v>0.75</v>
      </c>
      <c r="H33" s="15">
        <v>77.77</v>
      </c>
      <c r="I33" s="16">
        <v>51521536.22</v>
      </c>
      <c r="J33" s="21">
        <v>997425</v>
      </c>
      <c r="K33" s="16">
        <v>116465967.28</v>
      </c>
      <c r="L33" s="16">
        <v>998010949.23</v>
      </c>
    </row>
    <row r="34" spans="2:12">
      <c r="B34" s="22" t="s">
        <v>209</v>
      </c>
      <c r="C34" s="23">
        <v>13</v>
      </c>
      <c r="D34" s="23">
        <v>4378545</v>
      </c>
      <c r="E34" s="23">
        <v>642407</v>
      </c>
      <c r="F34" s="24">
        <v>0.1467</v>
      </c>
      <c r="G34" s="24">
        <v>0.75</v>
      </c>
      <c r="H34" s="25">
        <v>77.77</v>
      </c>
      <c r="I34" s="25">
        <v>49959992.39</v>
      </c>
      <c r="J34" s="23">
        <v>1017094</v>
      </c>
      <c r="K34" s="25">
        <v>118307409.61</v>
      </c>
      <c r="L34" s="25">
        <v>1116318358.84</v>
      </c>
    </row>
    <row r="35" spans="2:12">
      <c r="B35" t="s">
        <v>210</v>
      </c>
      <c r="C35" s="21">
        <v>14</v>
      </c>
      <c r="D35" s="21">
        <v>4385842</v>
      </c>
      <c r="E35" s="21">
        <v>625513</v>
      </c>
      <c r="F35" s="14">
        <v>0.1426</v>
      </c>
      <c r="G35" s="14">
        <v>0.75</v>
      </c>
      <c r="H35" s="15">
        <v>77.77</v>
      </c>
      <c r="I35" s="16">
        <v>48646146.01</v>
      </c>
      <c r="J35" s="21">
        <v>1034059</v>
      </c>
      <c r="K35" s="16">
        <v>119901703.49</v>
      </c>
      <c r="L35" s="16">
        <v>1236220062.33</v>
      </c>
    </row>
    <row r="36" spans="2:12">
      <c r="B36" s="22" t="s">
        <v>211</v>
      </c>
      <c r="C36" s="23">
        <v>15</v>
      </c>
      <c r="D36" s="23">
        <v>4393152</v>
      </c>
      <c r="E36" s="23">
        <v>611319</v>
      </c>
      <c r="F36" s="24">
        <v>0.1392</v>
      </c>
      <c r="G36" s="24">
        <v>0.75</v>
      </c>
      <c r="H36" s="25">
        <v>77.77</v>
      </c>
      <c r="I36" s="25">
        <v>47542278.63</v>
      </c>
      <c r="J36" s="23">
        <v>1048734</v>
      </c>
      <c r="K36" s="25">
        <v>121286567.37</v>
      </c>
      <c r="L36" s="25">
        <v>1357506629.7</v>
      </c>
    </row>
    <row r="37" spans="2:12">
      <c r="B37" t="s">
        <v>212</v>
      </c>
      <c r="C37" s="21">
        <v>16</v>
      </c>
      <c r="D37" s="21">
        <v>4400474</v>
      </c>
      <c r="E37" s="21">
        <v>599416</v>
      </c>
      <c r="F37" s="14">
        <v>0.1362</v>
      </c>
      <c r="G37" s="14">
        <v>0.75</v>
      </c>
      <c r="H37" s="15">
        <v>77.77</v>
      </c>
      <c r="I37" s="16">
        <v>46616582.32</v>
      </c>
      <c r="J37" s="21">
        <v>1061465</v>
      </c>
      <c r="K37" s="16">
        <v>122493626.18</v>
      </c>
      <c r="L37" s="16">
        <v>1480000255.88</v>
      </c>
    </row>
    <row r="38" spans="2:12">
      <c r="B38" s="22" t="s">
        <v>213</v>
      </c>
      <c r="C38" s="23">
        <v>17</v>
      </c>
      <c r="D38" s="23">
        <v>4407808</v>
      </c>
      <c r="E38" s="23">
        <v>589456</v>
      </c>
      <c r="F38" s="24">
        <v>0.1337</v>
      </c>
      <c r="G38" s="24">
        <v>0.75</v>
      </c>
      <c r="H38" s="25">
        <v>77.77</v>
      </c>
      <c r="I38" s="25">
        <v>45841993.12</v>
      </c>
      <c r="J38" s="23">
        <v>1072549</v>
      </c>
      <c r="K38" s="25">
        <v>123550035.38</v>
      </c>
      <c r="L38" s="25">
        <v>1603550291.26</v>
      </c>
    </row>
    <row r="39" spans="2:12">
      <c r="B39" t="s">
        <v>214</v>
      </c>
      <c r="C39" s="21">
        <v>18</v>
      </c>
      <c r="D39" s="21">
        <v>4415154</v>
      </c>
      <c r="E39" s="21">
        <v>581144</v>
      </c>
      <c r="F39" s="14">
        <v>0.1316</v>
      </c>
      <c r="G39" s="14">
        <v>0.75</v>
      </c>
      <c r="H39" s="15">
        <v>77.77</v>
      </c>
      <c r="I39" s="16">
        <v>45195568.88</v>
      </c>
      <c r="J39" s="21">
        <v>1082237</v>
      </c>
      <c r="K39" s="16">
        <v>124478828.62</v>
      </c>
      <c r="L39" s="16">
        <v>1728029119.88</v>
      </c>
    </row>
    <row r="40" spans="2:12">
      <c r="B40" s="22" t="s">
        <v>215</v>
      </c>
      <c r="C40" s="23">
        <v>19</v>
      </c>
      <c r="D40" s="23">
        <v>4422513</v>
      </c>
      <c r="E40" s="23">
        <v>574231</v>
      </c>
      <c r="F40" s="24">
        <v>0.1298</v>
      </c>
      <c r="G40" s="24">
        <v>0.75</v>
      </c>
      <c r="H40" s="25">
        <v>77.77</v>
      </c>
      <c r="I40" s="25">
        <v>44657944.87</v>
      </c>
      <c r="J40" s="23">
        <v>1090740</v>
      </c>
      <c r="K40" s="25">
        <v>125299187.63</v>
      </c>
      <c r="L40" s="25">
        <v>1853328307.51</v>
      </c>
    </row>
    <row r="41" spans="2:12">
      <c r="B41" t="s">
        <v>216</v>
      </c>
      <c r="C41" s="21">
        <v>20</v>
      </c>
      <c r="D41" s="21">
        <v>4429884</v>
      </c>
      <c r="E41" s="21">
        <v>568503</v>
      </c>
      <c r="F41" s="14">
        <v>0.1283</v>
      </c>
      <c r="G41" s="14">
        <v>0.75</v>
      </c>
      <c r="H41" s="15">
        <v>77.77</v>
      </c>
      <c r="I41" s="16">
        <v>44212478.31</v>
      </c>
      <c r="J41" s="21">
        <v>1098241</v>
      </c>
      <c r="K41" s="16">
        <v>126027938.19</v>
      </c>
      <c r="L41" s="16">
        <v>1979356245.7</v>
      </c>
    </row>
    <row r="42" spans="2:12">
      <c r="B42" s="22" t="s">
        <v>217</v>
      </c>
      <c r="C42" s="23">
        <v>21</v>
      </c>
      <c r="D42" s="23">
        <v>4437267</v>
      </c>
      <c r="E42" s="23">
        <v>563781</v>
      </c>
      <c r="F42" s="24">
        <v>0.1271</v>
      </c>
      <c r="G42" s="24">
        <v>0.75</v>
      </c>
      <c r="H42" s="25">
        <v>77.77</v>
      </c>
      <c r="I42" s="25">
        <v>43845248.37</v>
      </c>
      <c r="J42" s="23">
        <v>1104890</v>
      </c>
      <c r="K42" s="25">
        <v>126678909.63</v>
      </c>
      <c r="L42" s="25">
        <v>2106035155.33</v>
      </c>
    </row>
    <row r="43" spans="2:12">
      <c r="B43" t="s">
        <v>218</v>
      </c>
      <c r="C43" s="21">
        <v>22</v>
      </c>
      <c r="D43" s="21">
        <v>4444662</v>
      </c>
      <c r="E43" s="21">
        <v>559912</v>
      </c>
      <c r="F43" s="14">
        <v>0.126</v>
      </c>
      <c r="G43" s="14">
        <v>0.75</v>
      </c>
      <c r="H43" s="15">
        <v>77.77</v>
      </c>
      <c r="I43" s="16">
        <v>43544356.24</v>
      </c>
      <c r="J43" s="21">
        <v>1110818</v>
      </c>
      <c r="K43" s="16">
        <v>127264000.76</v>
      </c>
      <c r="L43" s="16">
        <v>2233299156.09</v>
      </c>
    </row>
    <row r="44" spans="2:12">
      <c r="B44" s="22" t="s">
        <v>219</v>
      </c>
      <c r="C44" s="23">
        <v>23</v>
      </c>
      <c r="D44" s="23">
        <v>4452070</v>
      </c>
      <c r="E44" s="23">
        <v>556767</v>
      </c>
      <c r="F44" s="24">
        <v>0.1251</v>
      </c>
      <c r="G44" s="24">
        <v>0.75</v>
      </c>
      <c r="H44" s="25">
        <v>77.77</v>
      </c>
      <c r="I44" s="25">
        <v>43299769.59</v>
      </c>
      <c r="J44" s="23">
        <v>1116136</v>
      </c>
      <c r="K44" s="25">
        <v>127793243.91</v>
      </c>
      <c r="L44" s="25">
        <v>2361092400</v>
      </c>
    </row>
    <row r="45" spans="2:12">
      <c r="B45" t="s">
        <v>220</v>
      </c>
      <c r="C45" s="21">
        <v>24</v>
      </c>
      <c r="D45" s="21">
        <v>4459490</v>
      </c>
      <c r="E45" s="21">
        <v>554237</v>
      </c>
      <c r="F45" s="14">
        <v>0.1243</v>
      </c>
      <c r="G45" s="14">
        <v>0.75</v>
      </c>
      <c r="H45" s="15">
        <v>77.77</v>
      </c>
      <c r="I45" s="16">
        <v>43103011.49</v>
      </c>
      <c r="J45" s="21">
        <v>1120936</v>
      </c>
      <c r="K45" s="16">
        <v>128275207.51</v>
      </c>
      <c r="L45" s="16">
        <v>2489367607.51</v>
      </c>
    </row>
    <row r="46" spans="2:12">
      <c r="B46" s="22" t="s">
        <v>221</v>
      </c>
      <c r="C46" s="23">
        <v>25</v>
      </c>
      <c r="D46" s="23">
        <v>4466923</v>
      </c>
      <c r="E46" s="23">
        <v>552228</v>
      </c>
      <c r="F46" s="24">
        <v>0.1236</v>
      </c>
      <c r="G46" s="24">
        <v>0.75</v>
      </c>
      <c r="H46" s="25">
        <v>77.77</v>
      </c>
      <c r="I46" s="25">
        <v>42946771.56</v>
      </c>
      <c r="J46" s="23">
        <v>1125297</v>
      </c>
      <c r="K46" s="25">
        <v>128717018.94</v>
      </c>
      <c r="L46" s="25">
        <v>2618084626.45</v>
      </c>
    </row>
    <row r="47" spans="2:12">
      <c r="B47" t="s">
        <v>222</v>
      </c>
      <c r="C47" s="21">
        <v>26</v>
      </c>
      <c r="D47" s="21">
        <v>4474368</v>
      </c>
      <c r="E47" s="21">
        <v>550661</v>
      </c>
      <c r="F47" s="14">
        <v>0.1231</v>
      </c>
      <c r="G47" s="14">
        <v>0.75</v>
      </c>
      <c r="H47" s="15">
        <v>77.77</v>
      </c>
      <c r="I47" s="16">
        <v>42824905.97</v>
      </c>
      <c r="J47" s="21">
        <v>1129287</v>
      </c>
      <c r="K47" s="16">
        <v>129125005.03</v>
      </c>
      <c r="L47" s="16">
        <v>2747209631.48</v>
      </c>
    </row>
    <row r="48" spans="2:12">
      <c r="B48" s="22" t="s">
        <v>223</v>
      </c>
      <c r="C48" s="23">
        <v>27</v>
      </c>
      <c r="D48" s="23">
        <v>4481825</v>
      </c>
      <c r="E48" s="23">
        <v>549469</v>
      </c>
      <c r="F48" s="24">
        <v>0.1226</v>
      </c>
      <c r="G48" s="24">
        <v>0.75</v>
      </c>
      <c r="H48" s="25">
        <v>77.77</v>
      </c>
      <c r="I48" s="25">
        <v>42732204.13</v>
      </c>
      <c r="J48" s="23">
        <v>1132962</v>
      </c>
      <c r="K48" s="25">
        <v>129504284.87</v>
      </c>
      <c r="L48" s="25">
        <v>2876713916.35</v>
      </c>
    </row>
    <row r="49" spans="2:12">
      <c r="B49" t="s">
        <v>224</v>
      </c>
      <c r="C49" s="21">
        <v>28</v>
      </c>
      <c r="D49" s="21">
        <v>4489295</v>
      </c>
      <c r="E49" s="21">
        <v>548595</v>
      </c>
      <c r="F49" s="14">
        <v>0.1222</v>
      </c>
      <c r="G49" s="14">
        <v>0.75</v>
      </c>
      <c r="H49" s="15">
        <v>77.77</v>
      </c>
      <c r="I49" s="16">
        <v>42664233.15</v>
      </c>
      <c r="J49" s="21">
        <v>1136371</v>
      </c>
      <c r="K49" s="16">
        <v>129859291.35</v>
      </c>
      <c r="L49" s="16">
        <v>3006573207.7</v>
      </c>
    </row>
    <row r="50" spans="2:12">
      <c r="B50" s="22" t="s">
        <v>225</v>
      </c>
      <c r="C50" s="23">
        <v>29</v>
      </c>
      <c r="D50" s="23">
        <v>4496777</v>
      </c>
      <c r="E50" s="23">
        <v>547992</v>
      </c>
      <c r="F50" s="24">
        <v>0.1219</v>
      </c>
      <c r="G50" s="24">
        <v>0.75</v>
      </c>
      <c r="H50" s="25">
        <v>77.77</v>
      </c>
      <c r="I50" s="25">
        <v>42617337.84</v>
      </c>
      <c r="J50" s="23">
        <v>1139555</v>
      </c>
      <c r="K50" s="25">
        <v>130193771.16</v>
      </c>
      <c r="L50" s="25">
        <v>3136766978.86</v>
      </c>
    </row>
    <row r="51" spans="2:12">
      <c r="B51" t="s">
        <v>226</v>
      </c>
      <c r="C51" s="21">
        <v>30</v>
      </c>
      <c r="D51" s="21">
        <v>4504271</v>
      </c>
      <c r="E51" s="21">
        <v>547619</v>
      </c>
      <c r="F51" s="14">
        <v>0.1216</v>
      </c>
      <c r="G51" s="14">
        <v>0.75</v>
      </c>
      <c r="H51" s="15">
        <v>77.77</v>
      </c>
      <c r="I51" s="16">
        <v>42588329.63</v>
      </c>
      <c r="J51" s="21">
        <v>1142548</v>
      </c>
      <c r="K51" s="16">
        <v>130510821.37</v>
      </c>
      <c r="L51" s="16">
        <v>3267277800.23</v>
      </c>
    </row>
    <row r="52" spans="2:12">
      <c r="B52" s="22" t="s">
        <v>227</v>
      </c>
      <c r="C52" s="23">
        <v>31</v>
      </c>
      <c r="D52" s="23">
        <v>4511779</v>
      </c>
      <c r="E52" s="23">
        <v>547440</v>
      </c>
      <c r="F52" s="24">
        <v>0.1213</v>
      </c>
      <c r="G52" s="24">
        <v>0.75</v>
      </c>
      <c r="H52" s="25">
        <v>77.77</v>
      </c>
      <c r="I52" s="25">
        <v>42574408.8</v>
      </c>
      <c r="J52" s="23">
        <v>1145380</v>
      </c>
      <c r="K52" s="25">
        <v>130813241.7</v>
      </c>
      <c r="L52" s="25">
        <v>3398091041.93</v>
      </c>
    </row>
    <row r="53" spans="2:12">
      <c r="B53" t="s">
        <v>228</v>
      </c>
      <c r="C53" s="21">
        <v>32</v>
      </c>
      <c r="D53" s="21">
        <v>4519298</v>
      </c>
      <c r="E53" s="21">
        <v>547427</v>
      </c>
      <c r="F53" s="14">
        <v>0.1211</v>
      </c>
      <c r="G53" s="14">
        <v>0.75</v>
      </c>
      <c r="H53" s="15">
        <v>77.77</v>
      </c>
      <c r="I53" s="16">
        <v>42573397.79</v>
      </c>
      <c r="J53" s="21">
        <v>1148076</v>
      </c>
      <c r="K53" s="16">
        <v>131103209.71</v>
      </c>
      <c r="L53" s="16">
        <v>3529194251.64</v>
      </c>
    </row>
    <row r="54" spans="2:12">
      <c r="B54" s="22" t="s">
        <v>229</v>
      </c>
      <c r="C54" s="23">
        <v>33</v>
      </c>
      <c r="D54" s="23">
        <v>4526830</v>
      </c>
      <c r="E54" s="23">
        <v>547554</v>
      </c>
      <c r="F54" s="24">
        <v>0.121</v>
      </c>
      <c r="G54" s="24">
        <v>0.75</v>
      </c>
      <c r="H54" s="25">
        <v>77.77</v>
      </c>
      <c r="I54" s="25">
        <v>42583274.58</v>
      </c>
      <c r="J54" s="23">
        <v>1150657</v>
      </c>
      <c r="K54" s="25">
        <v>131382747.42</v>
      </c>
      <c r="L54" s="25">
        <v>3660576999.06</v>
      </c>
    </row>
    <row r="55" spans="2:12">
      <c r="B55" t="s">
        <v>230</v>
      </c>
      <c r="C55" s="21">
        <v>34</v>
      </c>
      <c r="D55" s="21">
        <v>4534375</v>
      </c>
      <c r="E55" s="21">
        <v>547801</v>
      </c>
      <c r="F55" s="14">
        <v>0.1208</v>
      </c>
      <c r="G55" s="14">
        <v>0.75</v>
      </c>
      <c r="H55" s="15">
        <v>77.77</v>
      </c>
      <c r="I55" s="16">
        <v>42602483.77</v>
      </c>
      <c r="J55" s="21">
        <v>1153140</v>
      </c>
      <c r="K55" s="16">
        <v>131653501.73</v>
      </c>
      <c r="L55" s="16">
        <v>3792230500.79</v>
      </c>
    </row>
    <row r="56" spans="2:12">
      <c r="B56" s="22" t="s">
        <v>231</v>
      </c>
      <c r="C56" s="23">
        <v>35</v>
      </c>
      <c r="D56" s="23">
        <v>4541932</v>
      </c>
      <c r="E56" s="23">
        <v>548149</v>
      </c>
      <c r="F56" s="24">
        <v>0.1207</v>
      </c>
      <c r="G56" s="24">
        <v>0.75</v>
      </c>
      <c r="H56" s="25">
        <v>77.77</v>
      </c>
      <c r="I56" s="25">
        <v>42629547.73</v>
      </c>
      <c r="J56" s="23">
        <v>1155542</v>
      </c>
      <c r="K56" s="25">
        <v>131916858.77</v>
      </c>
      <c r="L56" s="25">
        <v>3924147359.56</v>
      </c>
    </row>
    <row r="57" spans="2:12">
      <c r="B57" t="s">
        <v>232</v>
      </c>
      <c r="C57" s="21">
        <v>36</v>
      </c>
      <c r="D57" s="21">
        <v>4549502</v>
      </c>
      <c r="E57" s="21">
        <v>548584</v>
      </c>
      <c r="F57" s="14">
        <v>0.1206</v>
      </c>
      <c r="G57" s="14">
        <v>0.75</v>
      </c>
      <c r="H57" s="15">
        <v>77.77</v>
      </c>
      <c r="I57" s="16">
        <v>42663377.68</v>
      </c>
      <c r="J57" s="21">
        <v>1157875</v>
      </c>
      <c r="K57" s="16">
        <v>132173998.82</v>
      </c>
      <c r="L57" s="16">
        <v>4056321358.38</v>
      </c>
    </row>
    <row r="58" spans="2:12">
      <c r="B58" s="22" t="s">
        <v>233</v>
      </c>
      <c r="C58" s="23">
        <v>37</v>
      </c>
      <c r="D58" s="23">
        <v>4557085</v>
      </c>
      <c r="E58" s="23">
        <v>549092</v>
      </c>
      <c r="F58" s="24">
        <v>0.1205</v>
      </c>
      <c r="G58" s="24">
        <v>0.75</v>
      </c>
      <c r="H58" s="25">
        <v>77.77</v>
      </c>
      <c r="I58" s="25">
        <v>42702884.84</v>
      </c>
      <c r="J58" s="23">
        <v>1160150</v>
      </c>
      <c r="K58" s="25">
        <v>132425827.66</v>
      </c>
      <c r="L58" s="25">
        <v>4188747186.04</v>
      </c>
    </row>
    <row r="59" spans="2:12">
      <c r="B59" t="s">
        <v>234</v>
      </c>
      <c r="C59" s="21">
        <v>38</v>
      </c>
      <c r="D59" s="21">
        <v>4564680</v>
      </c>
      <c r="E59" s="21">
        <v>549663</v>
      </c>
      <c r="F59" s="14">
        <v>0.1204</v>
      </c>
      <c r="G59" s="14">
        <v>0.75</v>
      </c>
      <c r="H59" s="15">
        <v>77.77</v>
      </c>
      <c r="I59" s="16">
        <v>42747291.51</v>
      </c>
      <c r="J59" s="21">
        <v>1162376</v>
      </c>
      <c r="K59" s="16">
        <v>132673305.99</v>
      </c>
      <c r="L59" s="16">
        <v>4321420492.03</v>
      </c>
    </row>
    <row r="60" spans="2:12">
      <c r="B60" s="22" t="s">
        <v>235</v>
      </c>
      <c r="C60" s="23">
        <v>39</v>
      </c>
      <c r="D60" s="23">
        <v>4572288</v>
      </c>
      <c r="E60" s="23">
        <v>550287</v>
      </c>
      <c r="F60" s="24">
        <v>0.1204</v>
      </c>
      <c r="G60" s="24">
        <v>0.75</v>
      </c>
      <c r="H60" s="25">
        <v>77.77</v>
      </c>
      <c r="I60" s="25">
        <v>42795819.99</v>
      </c>
      <c r="J60" s="23">
        <v>1164562</v>
      </c>
      <c r="K60" s="25">
        <v>132917211.51</v>
      </c>
      <c r="L60" s="25">
        <v>4454337703.54</v>
      </c>
    </row>
    <row r="61" spans="2:12">
      <c r="B61" t="s">
        <v>236</v>
      </c>
      <c r="C61" s="21">
        <v>40</v>
      </c>
      <c r="D61" s="21">
        <v>4579908</v>
      </c>
      <c r="E61" s="21">
        <v>550957</v>
      </c>
      <c r="F61" s="14">
        <v>0.1203</v>
      </c>
      <c r="G61" s="14">
        <v>0.75</v>
      </c>
      <c r="H61" s="15">
        <v>77.77</v>
      </c>
      <c r="I61" s="16">
        <v>42847925.89</v>
      </c>
      <c r="J61" s="21">
        <v>1166713</v>
      </c>
      <c r="K61" s="16">
        <v>133157905.61</v>
      </c>
      <c r="L61" s="16">
        <v>4587495609.15</v>
      </c>
    </row>
    <row r="62" spans="2:12">
      <c r="B62" s="22" t="s">
        <v>237</v>
      </c>
      <c r="C62" s="23">
        <v>41</v>
      </c>
      <c r="D62" s="23">
        <v>4587541</v>
      </c>
      <c r="E62" s="23">
        <v>551665</v>
      </c>
      <c r="F62" s="24">
        <v>0.1203</v>
      </c>
      <c r="G62" s="24">
        <v>0.75</v>
      </c>
      <c r="H62" s="25">
        <v>77.77</v>
      </c>
      <c r="I62" s="25">
        <v>42902987.05</v>
      </c>
      <c r="J62" s="23">
        <v>1168836</v>
      </c>
      <c r="K62" s="25">
        <v>133396193.45</v>
      </c>
      <c r="L62" s="25">
        <v>4720891802.599999</v>
      </c>
    </row>
    <row r="63" spans="2:12">
      <c r="B63" t="s">
        <v>238</v>
      </c>
      <c r="C63" s="21">
        <v>42</v>
      </c>
      <c r="D63" s="21">
        <v>4595187</v>
      </c>
      <c r="E63" s="21">
        <v>552406</v>
      </c>
      <c r="F63" s="14">
        <v>0.1202</v>
      </c>
      <c r="G63" s="14">
        <v>0.75</v>
      </c>
      <c r="H63" s="15">
        <v>77.77</v>
      </c>
      <c r="I63" s="16">
        <v>42960614.62</v>
      </c>
      <c r="J63" s="21">
        <v>1170936</v>
      </c>
      <c r="K63" s="16">
        <v>133632372.38</v>
      </c>
      <c r="L63" s="16">
        <v>4854524174.98</v>
      </c>
    </row>
    <row r="64" spans="2:12">
      <c r="B64" s="22" t="s">
        <v>239</v>
      </c>
      <c r="C64" s="23">
        <v>43</v>
      </c>
      <c r="D64" s="23">
        <v>4602846</v>
      </c>
      <c r="E64" s="23">
        <v>553176</v>
      </c>
      <c r="F64" s="24">
        <v>0.1202</v>
      </c>
      <c r="G64" s="24">
        <v>0.75</v>
      </c>
      <c r="H64" s="25">
        <v>77.77</v>
      </c>
      <c r="I64" s="25">
        <v>43020497.52</v>
      </c>
      <c r="J64" s="23">
        <v>1173016</v>
      </c>
      <c r="K64" s="25">
        <v>133866844.98</v>
      </c>
      <c r="L64" s="25">
        <v>4988391019.959999</v>
      </c>
    </row>
    <row r="65" spans="2:12">
      <c r="B65" t="s">
        <v>240</v>
      </c>
      <c r="C65" s="21">
        <v>44</v>
      </c>
      <c r="D65" s="21">
        <v>4610517</v>
      </c>
      <c r="E65" s="21">
        <v>553969</v>
      </c>
      <c r="F65" s="14">
        <v>0.1202</v>
      </c>
      <c r="G65" s="14">
        <v>0.75</v>
      </c>
      <c r="H65" s="15">
        <v>77.77</v>
      </c>
      <c r="I65" s="16">
        <v>43082169.13</v>
      </c>
      <c r="J65" s="21">
        <v>1175080</v>
      </c>
      <c r="K65" s="16">
        <v>134099986.37</v>
      </c>
      <c r="L65" s="16">
        <v>5122491006.329999</v>
      </c>
    </row>
    <row r="66" spans="2:12">
      <c r="B66" s="22" t="s">
        <v>241</v>
      </c>
      <c r="C66" s="23">
        <v>45</v>
      </c>
      <c r="D66" s="23">
        <v>4618201</v>
      </c>
      <c r="E66" s="23">
        <v>554784</v>
      </c>
      <c r="F66" s="24">
        <v>0.1201</v>
      </c>
      <c r="G66" s="24">
        <v>0.75</v>
      </c>
      <c r="H66" s="25">
        <v>77.77</v>
      </c>
      <c r="I66" s="25">
        <v>43145551.68</v>
      </c>
      <c r="J66" s="23">
        <v>1177131</v>
      </c>
      <c r="K66" s="25">
        <v>134331874.32</v>
      </c>
      <c r="L66" s="25">
        <v>5256822880.649999</v>
      </c>
    </row>
    <row r="67" spans="2:12">
      <c r="B67" t="s">
        <v>242</v>
      </c>
      <c r="C67" s="21">
        <v>46</v>
      </c>
      <c r="D67" s="21">
        <v>4625898</v>
      </c>
      <c r="E67" s="21">
        <v>555616</v>
      </c>
      <c r="F67" s="14">
        <v>0.1201</v>
      </c>
      <c r="G67" s="14">
        <v>0.75</v>
      </c>
      <c r="H67" s="15">
        <v>77.77</v>
      </c>
      <c r="I67" s="16">
        <v>43210256.32</v>
      </c>
      <c r="J67" s="21">
        <v>1179171</v>
      </c>
      <c r="K67" s="16">
        <v>134562989.18</v>
      </c>
      <c r="L67" s="16">
        <v>5391385869.829999</v>
      </c>
    </row>
    <row r="68" spans="2:12">
      <c r="B68" s="22" t="s">
        <v>243</v>
      </c>
      <c r="C68" s="23">
        <v>47</v>
      </c>
      <c r="D68" s="23">
        <v>4633608</v>
      </c>
      <c r="E68" s="23">
        <v>556464</v>
      </c>
      <c r="F68" s="24">
        <v>0.1201</v>
      </c>
      <c r="G68" s="24">
        <v>0.75</v>
      </c>
      <c r="H68" s="25">
        <v>77.77</v>
      </c>
      <c r="I68" s="25">
        <v>43276205.28</v>
      </c>
      <c r="J68" s="23">
        <v>1181203</v>
      </c>
      <c r="K68" s="25">
        <v>134793317.22</v>
      </c>
      <c r="L68" s="25">
        <v>5526179187.049999</v>
      </c>
    </row>
    <row r="69" spans="2:12">
      <c r="B69" t="s">
        <v>244</v>
      </c>
      <c r="C69" s="21">
        <v>48</v>
      </c>
      <c r="D69" s="21">
        <v>4641331</v>
      </c>
      <c r="E69" s="21">
        <v>557325</v>
      </c>
      <c r="F69" s="14">
        <v>0.1201</v>
      </c>
      <c r="G69" s="14">
        <v>0.75</v>
      </c>
      <c r="H69" s="15">
        <v>77.77</v>
      </c>
      <c r="I69" s="16">
        <v>43343165.25</v>
      </c>
      <c r="J69" s="21">
        <v>1183228</v>
      </c>
      <c r="K69" s="16">
        <v>135023183.25</v>
      </c>
      <c r="L69" s="16">
        <v>5661202370.299999</v>
      </c>
    </row>
    <row r="70" spans="2:12">
      <c r="B70" s="22" t="s">
        <v>245</v>
      </c>
      <c r="C70" s="23">
        <v>49</v>
      </c>
      <c r="D70" s="23">
        <v>4649067</v>
      </c>
      <c r="E70" s="23">
        <v>558198</v>
      </c>
      <c r="F70" s="24">
        <v>0.1201</v>
      </c>
      <c r="G70" s="24">
        <v>0.75</v>
      </c>
      <c r="H70" s="25">
        <v>77.77</v>
      </c>
      <c r="I70" s="25">
        <v>43411058.46</v>
      </c>
      <c r="J70" s="23">
        <v>1185248</v>
      </c>
      <c r="K70" s="25">
        <v>135252573.54</v>
      </c>
      <c r="L70" s="25">
        <v>5796454943.839999</v>
      </c>
    </row>
    <row r="71" spans="2:12">
      <c r="B71" t="s">
        <v>246</v>
      </c>
      <c r="C71" s="21">
        <v>50</v>
      </c>
      <c r="D71" s="21">
        <v>4656815</v>
      </c>
      <c r="E71" s="21">
        <v>559081</v>
      </c>
      <c r="F71" s="14">
        <v>0.1201</v>
      </c>
      <c r="G71" s="14">
        <v>0.75</v>
      </c>
      <c r="H71" s="15">
        <v>77.77</v>
      </c>
      <c r="I71" s="16">
        <v>43479729.37</v>
      </c>
      <c r="J71" s="21">
        <v>1187264</v>
      </c>
      <c r="K71" s="16">
        <v>135481643.63</v>
      </c>
      <c r="L71" s="16">
        <v>5931936587.469999</v>
      </c>
    </row>
    <row r="72" spans="2:12">
      <c r="B72" s="22" t="s">
        <v>247</v>
      </c>
      <c r="C72" s="23">
        <v>51</v>
      </c>
      <c r="D72" s="23">
        <v>4664576</v>
      </c>
      <c r="E72" s="23">
        <v>559972</v>
      </c>
      <c r="F72" s="24">
        <v>0.12</v>
      </c>
      <c r="G72" s="24">
        <v>0.75</v>
      </c>
      <c r="H72" s="25">
        <v>77.77</v>
      </c>
      <c r="I72" s="25">
        <v>43549022.44</v>
      </c>
      <c r="J72" s="23">
        <v>1189277</v>
      </c>
      <c r="K72" s="25">
        <v>135710640.56</v>
      </c>
      <c r="L72" s="25">
        <v>6067647228.03</v>
      </c>
    </row>
    <row r="73" spans="2:12">
      <c r="B73" t="s">
        <v>248</v>
      </c>
      <c r="C73" s="21">
        <v>52</v>
      </c>
      <c r="D73" s="21">
        <v>4672351</v>
      </c>
      <c r="E73" s="21">
        <v>560871</v>
      </c>
      <c r="F73" s="14">
        <v>0.12</v>
      </c>
      <c r="G73" s="14">
        <v>0.75</v>
      </c>
      <c r="H73" s="15">
        <v>77.77</v>
      </c>
      <c r="I73" s="16">
        <v>43618937.67</v>
      </c>
      <c r="J73" s="21">
        <v>1191288</v>
      </c>
      <c r="K73" s="16">
        <v>135939472.83</v>
      </c>
      <c r="L73" s="16">
        <v>6203586700.86</v>
      </c>
    </row>
    <row r="74" spans="2:12">
      <c r="B74" s="22" t="s">
        <v>249</v>
      </c>
      <c r="C74" s="23">
        <v>53</v>
      </c>
      <c r="D74" s="23">
        <v>4680138</v>
      </c>
      <c r="E74" s="23">
        <v>561777</v>
      </c>
      <c r="F74" s="24">
        <v>0.12</v>
      </c>
      <c r="G74" s="24">
        <v>0.75</v>
      </c>
      <c r="H74" s="25">
        <v>77.77</v>
      </c>
      <c r="I74" s="25">
        <v>43689397.29</v>
      </c>
      <c r="J74" s="23">
        <v>1193298</v>
      </c>
      <c r="K74" s="25">
        <v>136168309.71</v>
      </c>
      <c r="L74" s="25">
        <v>6339755010.57</v>
      </c>
    </row>
    <row r="75" spans="2:12">
      <c r="B75" t="s">
        <v>250</v>
      </c>
      <c r="C75" s="21">
        <v>54</v>
      </c>
      <c r="D75" s="21">
        <v>4687938</v>
      </c>
      <c r="E75" s="21">
        <v>562688</v>
      </c>
      <c r="F75" s="14">
        <v>0.12</v>
      </c>
      <c r="G75" s="14">
        <v>0.75</v>
      </c>
      <c r="H75" s="15">
        <v>77.77</v>
      </c>
      <c r="I75" s="16">
        <v>43760245.76</v>
      </c>
      <c r="J75" s="21">
        <v>1195308</v>
      </c>
      <c r="K75" s="16">
        <v>136397215.24</v>
      </c>
      <c r="L75" s="16">
        <v>6476152225.809999</v>
      </c>
    </row>
    <row r="76" spans="2:12">
      <c r="B76" s="22" t="s">
        <v>251</v>
      </c>
      <c r="C76" s="23">
        <v>55</v>
      </c>
      <c r="D76" s="23">
        <v>4695751</v>
      </c>
      <c r="E76" s="23">
        <v>563605</v>
      </c>
      <c r="F76" s="24">
        <v>0.12</v>
      </c>
      <c r="G76" s="24">
        <v>0.75</v>
      </c>
      <c r="H76" s="25">
        <v>77.77</v>
      </c>
      <c r="I76" s="25">
        <v>43831560.85</v>
      </c>
      <c r="J76" s="23">
        <v>1197318</v>
      </c>
      <c r="K76" s="25">
        <v>136626111.65</v>
      </c>
      <c r="L76" s="25">
        <v>6612778337.459999</v>
      </c>
    </row>
    <row r="77" spans="2:12">
      <c r="B77" t="s">
        <v>252</v>
      </c>
      <c r="C77" s="21">
        <v>56</v>
      </c>
      <c r="D77" s="21">
        <v>4703578</v>
      </c>
      <c r="E77" s="21">
        <v>564527</v>
      </c>
      <c r="F77" s="14">
        <v>0.12</v>
      </c>
      <c r="G77" s="14">
        <v>0.75</v>
      </c>
      <c r="H77" s="15">
        <v>77.77</v>
      </c>
      <c r="I77" s="16">
        <v>43903264.79</v>
      </c>
      <c r="J77" s="21">
        <v>1199329</v>
      </c>
      <c r="K77" s="16">
        <v>136855168.21</v>
      </c>
      <c r="L77" s="16">
        <v>6749633505.669999</v>
      </c>
    </row>
    <row r="78" spans="2:12">
      <c r="B78" s="22" t="s">
        <v>253</v>
      </c>
      <c r="C78" s="23">
        <v>57</v>
      </c>
      <c r="D78" s="23">
        <v>4711417</v>
      </c>
      <c r="E78" s="23">
        <v>565453</v>
      </c>
      <c r="F78" s="24">
        <v>0.12</v>
      </c>
      <c r="G78" s="24">
        <v>0.75</v>
      </c>
      <c r="H78" s="25">
        <v>77.77</v>
      </c>
      <c r="I78" s="25">
        <v>43975279.81</v>
      </c>
      <c r="J78" s="23">
        <v>1201340</v>
      </c>
      <c r="K78" s="25">
        <v>137084462.69</v>
      </c>
      <c r="L78" s="25">
        <v>6886717968.359999</v>
      </c>
    </row>
    <row r="79" spans="2:12">
      <c r="B79" t="s">
        <v>254</v>
      </c>
      <c r="C79" s="21">
        <v>58</v>
      </c>
      <c r="D79" s="21">
        <v>4719269</v>
      </c>
      <c r="E79" s="21">
        <v>566382</v>
      </c>
      <c r="F79" s="14">
        <v>0.12</v>
      </c>
      <c r="G79" s="14">
        <v>0.75</v>
      </c>
      <c r="H79" s="15">
        <v>77.77</v>
      </c>
      <c r="I79" s="16">
        <v>44047528.14</v>
      </c>
      <c r="J79" s="21">
        <v>1203353</v>
      </c>
      <c r="K79" s="16">
        <v>137313981.36</v>
      </c>
      <c r="L79" s="16">
        <v>7024031949.719998</v>
      </c>
    </row>
    <row r="80" spans="2:12">
      <c r="B80" s="22" t="s">
        <v>255</v>
      </c>
      <c r="C80" s="23">
        <v>59</v>
      </c>
      <c r="D80" s="23">
        <v>4727135</v>
      </c>
      <c r="E80" s="23">
        <v>567316</v>
      </c>
      <c r="F80" s="24">
        <v>0.12</v>
      </c>
      <c r="G80" s="24">
        <v>0.75</v>
      </c>
      <c r="H80" s="25">
        <v>77.77</v>
      </c>
      <c r="I80" s="25">
        <v>44120165.32</v>
      </c>
      <c r="J80" s="23">
        <v>1205368</v>
      </c>
      <c r="K80" s="25">
        <v>137543568.68</v>
      </c>
      <c r="L80" s="25">
        <v>7161575518.399999</v>
      </c>
    </row>
  </sheetData>
  <mergeCells count="9">
    <mergeCell ref="B2:K2"/>
    <mergeCell ref="B4:C4"/>
    <mergeCell ref="B5:C5"/>
    <mergeCell ref="D4:E4"/>
    <mergeCell ref="D5:E5"/>
    <mergeCell ref="F4:G4"/>
    <mergeCell ref="F5:G5"/>
    <mergeCell ref="H4:I4"/>
    <mergeCell ref="H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</sheetPr>
  <dimension ref="B2:P7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6" width="14.7109375" customWidth="1"/>
  </cols>
  <sheetData>
    <row r="2" spans="2:16">
      <c r="B2" s="1" t="s">
        <v>256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6">
      <c r="B4" s="17" t="s">
        <v>257</v>
      </c>
      <c r="C4" s="17"/>
      <c r="D4" s="17" t="s">
        <v>258</v>
      </c>
      <c r="E4" s="17"/>
      <c r="F4" s="17" t="s">
        <v>259</v>
      </c>
      <c r="G4" s="17"/>
      <c r="H4" s="17" t="s">
        <v>260</v>
      </c>
      <c r="I4" s="17"/>
      <c r="J4" s="17" t="s">
        <v>261</v>
      </c>
      <c r="K4" s="17"/>
    </row>
    <row r="5" spans="2:16">
      <c r="B5" s="26">
        <v>10349792.95</v>
      </c>
      <c r="C5" s="26"/>
      <c r="D5" s="26">
        <v>373217288.4299999</v>
      </c>
      <c r="E5" s="26"/>
      <c r="F5" s="26">
        <v>267412966.32</v>
      </c>
      <c r="G5" s="26"/>
      <c r="H5" s="27">
        <v>0.0462</v>
      </c>
      <c r="I5" s="27"/>
      <c r="J5" s="28" t="s">
        <v>262</v>
      </c>
      <c r="K5" s="28"/>
    </row>
    <row r="7" spans="2:16">
      <c r="B7" s="10" t="s">
        <v>263</v>
      </c>
      <c r="C7" s="10"/>
      <c r="D7" s="10"/>
      <c r="E7" s="10"/>
      <c r="F7" s="10"/>
      <c r="G7" s="10"/>
    </row>
    <row r="8" spans="2:16">
      <c r="B8" s="17" t="s">
        <v>264</v>
      </c>
      <c r="C8" s="27">
        <v>0.2257674041179913</v>
      </c>
      <c r="D8" s="17" t="s">
        <v>265</v>
      </c>
      <c r="E8" s="27">
        <v>0.6438064779570211</v>
      </c>
      <c r="F8" s="17" t="s">
        <v>132</v>
      </c>
      <c r="G8" s="27">
        <v>0.1304261179249876</v>
      </c>
    </row>
    <row r="10" spans="2:16" ht="35" customHeight="1">
      <c r="B10" s="29" t="s">
        <v>173</v>
      </c>
      <c r="C10" s="29" t="s">
        <v>174</v>
      </c>
      <c r="D10" s="29" t="s">
        <v>175</v>
      </c>
      <c r="E10" s="29" t="s">
        <v>266</v>
      </c>
      <c r="F10" s="29" t="s">
        <v>267</v>
      </c>
      <c r="G10" s="29" t="s">
        <v>268</v>
      </c>
      <c r="H10" s="29" t="s">
        <v>269</v>
      </c>
      <c r="I10" s="29" t="s">
        <v>270</v>
      </c>
      <c r="J10" s="29" t="s">
        <v>178</v>
      </c>
      <c r="K10" s="29" t="s">
        <v>179</v>
      </c>
      <c r="L10" s="29" t="s">
        <v>271</v>
      </c>
      <c r="M10" s="29" t="s">
        <v>272</v>
      </c>
      <c r="N10" s="29" t="s">
        <v>273</v>
      </c>
      <c r="O10" s="29" t="s">
        <v>274</v>
      </c>
      <c r="P10" s="29" t="s">
        <v>275</v>
      </c>
    </row>
    <row r="11" spans="2:16">
      <c r="B11" t="s">
        <v>196</v>
      </c>
      <c r="C11" s="21">
        <v>0</v>
      </c>
      <c r="D11" s="21">
        <v>4200000</v>
      </c>
      <c r="E11" s="21">
        <v>765</v>
      </c>
      <c r="F11" s="21">
        <v>0</v>
      </c>
      <c r="G11" s="21">
        <v>0</v>
      </c>
      <c r="H11" s="21">
        <v>765</v>
      </c>
      <c r="I11" s="14">
        <v>0.0002</v>
      </c>
      <c r="J11" s="14">
        <v>0</v>
      </c>
      <c r="K11" s="15">
        <v>50.33</v>
      </c>
      <c r="L11" s="16">
        <v>38502.45</v>
      </c>
      <c r="M11" s="16">
        <v>9625.610000000001</v>
      </c>
      <c r="N11" s="16">
        <v>-671123.16</v>
      </c>
      <c r="O11" s="16">
        <v>38502.45</v>
      </c>
      <c r="P11" s="16">
        <v>-671123.16</v>
      </c>
    </row>
    <row r="12" spans="2:16">
      <c r="B12" s="22" t="s">
        <v>197</v>
      </c>
      <c r="C12" s="23">
        <v>1</v>
      </c>
      <c r="D12" s="23">
        <v>4207000</v>
      </c>
      <c r="E12" s="23">
        <v>1259</v>
      </c>
      <c r="F12" s="23">
        <v>0</v>
      </c>
      <c r="G12" s="23">
        <v>0</v>
      </c>
      <c r="H12" s="23">
        <v>1259</v>
      </c>
      <c r="I12" s="24">
        <v>0.0003</v>
      </c>
      <c r="J12" s="24">
        <v>0</v>
      </c>
      <c r="K12" s="25">
        <v>50.05</v>
      </c>
      <c r="L12" s="25">
        <v>63012.95</v>
      </c>
      <c r="M12" s="25">
        <v>15753.24</v>
      </c>
      <c r="N12" s="25">
        <v>-152740.29</v>
      </c>
      <c r="O12" s="25">
        <v>101515.4</v>
      </c>
      <c r="P12" s="25">
        <v>-823863.45</v>
      </c>
    </row>
    <row r="13" spans="2:16">
      <c r="B13" t="s">
        <v>198</v>
      </c>
      <c r="C13" s="21">
        <v>2</v>
      </c>
      <c r="D13" s="21">
        <v>4214011</v>
      </c>
      <c r="E13" s="21">
        <v>2051</v>
      </c>
      <c r="F13" s="21">
        <v>0</v>
      </c>
      <c r="G13" s="21">
        <v>0</v>
      </c>
      <c r="H13" s="21">
        <v>2051</v>
      </c>
      <c r="I13" s="14">
        <v>0.0005</v>
      </c>
      <c r="J13" s="14">
        <v>0</v>
      </c>
      <c r="K13" s="15">
        <v>49.78</v>
      </c>
      <c r="L13" s="16">
        <v>102098.78</v>
      </c>
      <c r="M13" s="16">
        <v>25524.69</v>
      </c>
      <c r="N13" s="16">
        <v>-123425.92</v>
      </c>
      <c r="O13" s="16">
        <v>203614.18</v>
      </c>
      <c r="P13" s="16">
        <v>-947289.36</v>
      </c>
    </row>
    <row r="14" spans="2:16">
      <c r="B14" s="22" t="s">
        <v>199</v>
      </c>
      <c r="C14" s="23">
        <v>3</v>
      </c>
      <c r="D14" s="23">
        <v>4221035</v>
      </c>
      <c r="E14" s="23">
        <v>3297</v>
      </c>
      <c r="F14" s="23">
        <v>0</v>
      </c>
      <c r="G14" s="23">
        <v>0</v>
      </c>
      <c r="H14" s="23">
        <v>3297</v>
      </c>
      <c r="I14" s="24">
        <v>0.0008</v>
      </c>
      <c r="J14" s="24">
        <v>0</v>
      </c>
      <c r="K14" s="25">
        <v>49.5</v>
      </c>
      <c r="L14" s="25">
        <v>163201.5</v>
      </c>
      <c r="M14" s="25">
        <v>40800.38</v>
      </c>
      <c r="N14" s="25">
        <v>-77598.88</v>
      </c>
      <c r="O14" s="25">
        <v>366815.68</v>
      </c>
      <c r="P14" s="25">
        <v>-1024888.24</v>
      </c>
    </row>
    <row r="15" spans="2:16">
      <c r="B15" t="s">
        <v>200</v>
      </c>
      <c r="C15" s="21">
        <v>4</v>
      </c>
      <c r="D15" s="21">
        <v>4228070</v>
      </c>
      <c r="E15" s="21">
        <v>5212</v>
      </c>
      <c r="F15" s="21">
        <v>0</v>
      </c>
      <c r="G15" s="21">
        <v>0</v>
      </c>
      <c r="H15" s="21">
        <v>5212</v>
      </c>
      <c r="I15" s="14">
        <v>0.0012</v>
      </c>
      <c r="J15" s="14">
        <v>0</v>
      </c>
      <c r="K15" s="15">
        <v>49.23</v>
      </c>
      <c r="L15" s="16">
        <v>256586.76</v>
      </c>
      <c r="M15" s="16">
        <v>64146.69</v>
      </c>
      <c r="N15" s="16">
        <v>-7559.93</v>
      </c>
      <c r="O15" s="16">
        <v>623402.4399999999</v>
      </c>
      <c r="P15" s="16">
        <v>-1032448.17</v>
      </c>
    </row>
    <row r="16" spans="2:16">
      <c r="B16" s="22" t="s">
        <v>201</v>
      </c>
      <c r="C16" s="23">
        <v>5</v>
      </c>
      <c r="D16" s="23">
        <v>4235116</v>
      </c>
      <c r="E16" s="23">
        <v>8074</v>
      </c>
      <c r="F16" s="23">
        <v>0</v>
      </c>
      <c r="G16" s="23">
        <v>0</v>
      </c>
      <c r="H16" s="23">
        <v>8074</v>
      </c>
      <c r="I16" s="24">
        <v>0.0019</v>
      </c>
      <c r="J16" s="24">
        <v>0</v>
      </c>
      <c r="K16" s="25">
        <v>48.95</v>
      </c>
      <c r="L16" s="25">
        <v>395222.3</v>
      </c>
      <c r="M16" s="25">
        <v>98805.58</v>
      </c>
      <c r="N16" s="25">
        <v>96416.73</v>
      </c>
      <c r="O16" s="25">
        <v>1018624.74</v>
      </c>
      <c r="P16" s="25">
        <v>-936031.45</v>
      </c>
    </row>
    <row r="17" spans="2:16">
      <c r="B17" t="s">
        <v>202</v>
      </c>
      <c r="C17" s="21">
        <v>6</v>
      </c>
      <c r="D17" s="21">
        <v>4242175</v>
      </c>
      <c r="E17" s="21">
        <v>12200</v>
      </c>
      <c r="F17" s="21">
        <v>0</v>
      </c>
      <c r="G17" s="21">
        <v>0</v>
      </c>
      <c r="H17" s="21">
        <v>12200</v>
      </c>
      <c r="I17" s="14">
        <v>0.0029</v>
      </c>
      <c r="J17" s="14">
        <v>0</v>
      </c>
      <c r="K17" s="15">
        <v>48.68</v>
      </c>
      <c r="L17" s="16">
        <v>593896</v>
      </c>
      <c r="M17" s="16">
        <v>148474</v>
      </c>
      <c r="N17" s="16">
        <v>245422</v>
      </c>
      <c r="O17" s="16">
        <v>1612520.74</v>
      </c>
      <c r="P17" s="16">
        <v>-690609.45</v>
      </c>
    </row>
    <row r="18" spans="2:16">
      <c r="B18" s="22" t="s">
        <v>203</v>
      </c>
      <c r="C18" s="23">
        <v>7</v>
      </c>
      <c r="D18" s="23">
        <v>4249245</v>
      </c>
      <c r="E18" s="23">
        <v>15443</v>
      </c>
      <c r="F18" s="23">
        <v>2206</v>
      </c>
      <c r="G18" s="23">
        <v>262</v>
      </c>
      <c r="H18" s="23">
        <v>17911</v>
      </c>
      <c r="I18" s="24">
        <v>0.0042</v>
      </c>
      <c r="J18" s="24">
        <v>0.125</v>
      </c>
      <c r="K18" s="25">
        <v>48.4</v>
      </c>
      <c r="L18" s="25">
        <v>866892.4</v>
      </c>
      <c r="M18" s="25">
        <v>216723.1</v>
      </c>
      <c r="N18" s="25">
        <v>450169.3</v>
      </c>
      <c r="O18" s="25">
        <v>2479413.14</v>
      </c>
      <c r="P18" s="25">
        <v>-240440.15</v>
      </c>
    </row>
    <row r="19" spans="2:16">
      <c r="B19" t="s">
        <v>204</v>
      </c>
      <c r="C19" s="21">
        <v>8</v>
      </c>
      <c r="D19" s="21">
        <v>4256327</v>
      </c>
      <c r="E19" s="21">
        <v>18387</v>
      </c>
      <c r="F19" s="21">
        <v>6128</v>
      </c>
      <c r="G19" s="21">
        <v>933</v>
      </c>
      <c r="H19" s="21">
        <v>25448</v>
      </c>
      <c r="I19" s="14">
        <v>0.006</v>
      </c>
      <c r="J19" s="14">
        <v>0.25</v>
      </c>
      <c r="K19" s="15">
        <v>48.13</v>
      </c>
      <c r="L19" s="16">
        <v>1224812.24</v>
      </c>
      <c r="M19" s="16">
        <v>306203.06</v>
      </c>
      <c r="N19" s="16">
        <v>718609.1800000001</v>
      </c>
      <c r="O19" s="16">
        <v>3704225.38</v>
      </c>
      <c r="P19" s="16">
        <v>478169.03</v>
      </c>
    </row>
    <row r="20" spans="2:16">
      <c r="B20" s="22" t="s">
        <v>205</v>
      </c>
      <c r="C20" s="23">
        <v>9</v>
      </c>
      <c r="D20" s="23">
        <v>4263421</v>
      </c>
      <c r="E20" s="23">
        <v>20372</v>
      </c>
      <c r="F20" s="23">
        <v>12222</v>
      </c>
      <c r="G20" s="23">
        <v>2303</v>
      </c>
      <c r="H20" s="23">
        <v>34897</v>
      </c>
      <c r="I20" s="24">
        <v>0.008200000000000001</v>
      </c>
      <c r="J20" s="24">
        <v>0.375</v>
      </c>
      <c r="K20" s="25">
        <v>47.85</v>
      </c>
      <c r="L20" s="25">
        <v>1669821.45</v>
      </c>
      <c r="M20" s="25">
        <v>417455.36</v>
      </c>
      <c r="N20" s="25">
        <v>1052366.09</v>
      </c>
      <c r="O20" s="25">
        <v>5374046.83</v>
      </c>
      <c r="P20" s="25">
        <v>1530535.12</v>
      </c>
    </row>
    <row r="21" spans="2:16">
      <c r="B21" t="s">
        <v>206</v>
      </c>
      <c r="C21" s="21">
        <v>10</v>
      </c>
      <c r="D21" s="21">
        <v>4270527</v>
      </c>
      <c r="E21" s="21">
        <v>21034</v>
      </c>
      <c r="F21" s="21">
        <v>21033</v>
      </c>
      <c r="G21" s="21">
        <v>4059</v>
      </c>
      <c r="H21" s="21">
        <v>46126</v>
      </c>
      <c r="I21" s="14">
        <v>0.0108</v>
      </c>
      <c r="J21" s="14">
        <v>0.5</v>
      </c>
      <c r="K21" s="15">
        <v>47.58</v>
      </c>
      <c r="L21" s="16">
        <v>2194675.08</v>
      </c>
      <c r="M21" s="16">
        <v>548668.77</v>
      </c>
      <c r="N21" s="16">
        <v>1446006.31</v>
      </c>
      <c r="O21" s="16">
        <v>7568721.91</v>
      </c>
      <c r="P21" s="16">
        <v>2976541.43</v>
      </c>
    </row>
    <row r="22" spans="2:16">
      <c r="B22" s="22" t="s">
        <v>207</v>
      </c>
      <c r="C22" s="23">
        <v>11</v>
      </c>
      <c r="D22" s="23">
        <v>4277644</v>
      </c>
      <c r="E22" s="23">
        <v>19620</v>
      </c>
      <c r="F22" s="23">
        <v>32698</v>
      </c>
      <c r="G22" s="23">
        <v>6466</v>
      </c>
      <c r="H22" s="23">
        <v>58784</v>
      </c>
      <c r="I22" s="24">
        <v>0.0137</v>
      </c>
      <c r="J22" s="24">
        <v>0.625</v>
      </c>
      <c r="K22" s="25">
        <v>47.31</v>
      </c>
      <c r="L22" s="25">
        <v>2781071.04</v>
      </c>
      <c r="M22" s="25">
        <v>695267.76</v>
      </c>
      <c r="N22" s="25">
        <v>1885803.28</v>
      </c>
      <c r="O22" s="25">
        <v>10349792.95</v>
      </c>
      <c r="P22" s="25">
        <v>4862344.71</v>
      </c>
    </row>
    <row r="23" spans="2:16">
      <c r="B23" t="s">
        <v>208</v>
      </c>
      <c r="C23" s="21">
        <v>12</v>
      </c>
      <c r="D23" s="21">
        <v>4284774</v>
      </c>
      <c r="E23" s="21">
        <v>15702</v>
      </c>
      <c r="F23" s="21">
        <v>47105</v>
      </c>
      <c r="G23" s="21">
        <v>9551</v>
      </c>
      <c r="H23" s="21">
        <v>72358</v>
      </c>
      <c r="I23" s="14">
        <v>0.0169</v>
      </c>
      <c r="J23" s="14">
        <v>0.75</v>
      </c>
      <c r="K23" s="15">
        <v>47.03</v>
      </c>
      <c r="L23" s="16">
        <v>3402996.74</v>
      </c>
      <c r="M23" s="16">
        <v>850749.1899999999</v>
      </c>
      <c r="N23" s="16">
        <v>2352247.56</v>
      </c>
      <c r="O23" s="16">
        <v>13752789.69</v>
      </c>
      <c r="P23" s="16">
        <v>7214592.27</v>
      </c>
    </row>
    <row r="24" spans="2:16">
      <c r="B24" s="22" t="s">
        <v>209</v>
      </c>
      <c r="C24" s="23">
        <v>13</v>
      </c>
      <c r="D24" s="23">
        <v>4291915</v>
      </c>
      <c r="E24" s="23">
        <v>18723</v>
      </c>
      <c r="F24" s="23">
        <v>56169</v>
      </c>
      <c r="G24" s="23">
        <v>11389</v>
      </c>
      <c r="H24" s="23">
        <v>86281</v>
      </c>
      <c r="I24" s="24">
        <v>0.0201</v>
      </c>
      <c r="J24" s="24">
        <v>0.75</v>
      </c>
      <c r="K24" s="25">
        <v>46.76</v>
      </c>
      <c r="L24" s="25">
        <v>4034499.56</v>
      </c>
      <c r="M24" s="25">
        <v>1008624.89</v>
      </c>
      <c r="N24" s="25">
        <v>2825874.67</v>
      </c>
      <c r="O24" s="25">
        <v>17787289.25</v>
      </c>
      <c r="P24" s="25">
        <v>10040466.94</v>
      </c>
    </row>
    <row r="25" spans="2:16">
      <c r="B25" t="s">
        <v>210</v>
      </c>
      <c r="C25" s="21">
        <v>14</v>
      </c>
      <c r="D25" s="21">
        <v>4299068</v>
      </c>
      <c r="E25" s="21">
        <v>21704</v>
      </c>
      <c r="F25" s="21">
        <v>65112</v>
      </c>
      <c r="G25" s="21">
        <v>13202</v>
      </c>
      <c r="H25" s="21">
        <v>100018</v>
      </c>
      <c r="I25" s="14">
        <v>0.0233</v>
      </c>
      <c r="J25" s="14">
        <v>0.75</v>
      </c>
      <c r="K25" s="15">
        <v>46.48</v>
      </c>
      <c r="L25" s="16">
        <v>4648836.64</v>
      </c>
      <c r="M25" s="16">
        <v>1162209.16</v>
      </c>
      <c r="N25" s="16">
        <v>3286627.48</v>
      </c>
      <c r="O25" s="16">
        <v>22436125.89</v>
      </c>
      <c r="P25" s="16">
        <v>13327094.42</v>
      </c>
    </row>
    <row r="26" spans="2:16">
      <c r="B26" s="22" t="s">
        <v>211</v>
      </c>
      <c r="C26" s="23">
        <v>15</v>
      </c>
      <c r="D26" s="23">
        <v>4306233</v>
      </c>
      <c r="E26" s="23">
        <v>24552</v>
      </c>
      <c r="F26" s="23">
        <v>73654</v>
      </c>
      <c r="G26" s="23">
        <v>14934</v>
      </c>
      <c r="H26" s="23">
        <v>113140</v>
      </c>
      <c r="I26" s="24">
        <v>0.0263</v>
      </c>
      <c r="J26" s="24">
        <v>0.75</v>
      </c>
      <c r="K26" s="25">
        <v>46.21</v>
      </c>
      <c r="L26" s="25">
        <v>5228199.4</v>
      </c>
      <c r="M26" s="25">
        <v>1307049.85</v>
      </c>
      <c r="N26" s="25">
        <v>3721149.55</v>
      </c>
      <c r="O26" s="25">
        <v>27664325.29</v>
      </c>
      <c r="P26" s="25">
        <v>17048243.97</v>
      </c>
    </row>
    <row r="27" spans="2:16">
      <c r="B27" t="s">
        <v>212</v>
      </c>
      <c r="C27" s="21">
        <v>16</v>
      </c>
      <c r="D27" s="21">
        <v>4313410</v>
      </c>
      <c r="E27" s="21">
        <v>27200</v>
      </c>
      <c r="F27" s="21">
        <v>81598</v>
      </c>
      <c r="G27" s="21">
        <v>16545</v>
      </c>
      <c r="H27" s="21">
        <v>125343</v>
      </c>
      <c r="I27" s="14">
        <v>0.0291</v>
      </c>
      <c r="J27" s="14">
        <v>0.75</v>
      </c>
      <c r="K27" s="15">
        <v>45.93</v>
      </c>
      <c r="L27" s="16">
        <v>5757003.99</v>
      </c>
      <c r="M27" s="16">
        <v>1439251</v>
      </c>
      <c r="N27" s="16">
        <v>4117752.99</v>
      </c>
      <c r="O27" s="16">
        <v>33421329.28</v>
      </c>
      <c r="P27" s="16">
        <v>21165996.96</v>
      </c>
    </row>
    <row r="28" spans="2:16">
      <c r="B28" s="22" t="s">
        <v>213</v>
      </c>
      <c r="C28" s="23">
        <v>17</v>
      </c>
      <c r="D28" s="23">
        <v>4320599</v>
      </c>
      <c r="E28" s="23">
        <v>29609</v>
      </c>
      <c r="F28" s="23">
        <v>88827</v>
      </c>
      <c r="G28" s="23">
        <v>18011</v>
      </c>
      <c r="H28" s="23">
        <v>136447</v>
      </c>
      <c r="I28" s="24">
        <v>0.0316</v>
      </c>
      <c r="J28" s="24">
        <v>0.75</v>
      </c>
      <c r="K28" s="25">
        <v>45.66</v>
      </c>
      <c r="L28" s="25">
        <v>6230170.02</v>
      </c>
      <c r="M28" s="25">
        <v>1557542.5</v>
      </c>
      <c r="N28" s="25">
        <v>4472627.51</v>
      </c>
      <c r="O28" s="25">
        <v>39651499.3</v>
      </c>
      <c r="P28" s="25">
        <v>25638624.48</v>
      </c>
    </row>
    <row r="29" spans="2:16">
      <c r="B29" t="s">
        <v>214</v>
      </c>
      <c r="C29" s="21">
        <v>18</v>
      </c>
      <c r="D29" s="21">
        <v>4327800</v>
      </c>
      <c r="E29" s="21">
        <v>31764</v>
      </c>
      <c r="F29" s="21">
        <v>95289</v>
      </c>
      <c r="G29" s="21">
        <v>19321</v>
      </c>
      <c r="H29" s="21">
        <v>146374</v>
      </c>
      <c r="I29" s="14">
        <v>0.0338</v>
      </c>
      <c r="J29" s="14">
        <v>0.75</v>
      </c>
      <c r="K29" s="15">
        <v>45.38</v>
      </c>
      <c r="L29" s="16">
        <v>6642452.12</v>
      </c>
      <c r="M29" s="16">
        <v>1660613.03</v>
      </c>
      <c r="N29" s="16">
        <v>4781839.09</v>
      </c>
      <c r="O29" s="16">
        <v>46293951.42</v>
      </c>
      <c r="P29" s="16">
        <v>30420463.57</v>
      </c>
    </row>
    <row r="30" spans="2:16">
      <c r="B30" s="22" t="s">
        <v>215</v>
      </c>
      <c r="C30" s="23">
        <v>19</v>
      </c>
      <c r="D30" s="23">
        <v>4335013</v>
      </c>
      <c r="E30" s="23">
        <v>33663</v>
      </c>
      <c r="F30" s="23">
        <v>100986</v>
      </c>
      <c r="G30" s="23">
        <v>20476</v>
      </c>
      <c r="H30" s="23">
        <v>155125</v>
      </c>
      <c r="I30" s="24">
        <v>0.0358</v>
      </c>
      <c r="J30" s="24">
        <v>0.75</v>
      </c>
      <c r="K30" s="25">
        <v>45.11</v>
      </c>
      <c r="L30" s="25">
        <v>6997688.75</v>
      </c>
      <c r="M30" s="25">
        <v>1749422.19</v>
      </c>
      <c r="N30" s="25">
        <v>5048266.56</v>
      </c>
      <c r="O30" s="25">
        <v>53291640.17</v>
      </c>
      <c r="P30" s="25">
        <v>35468730.13</v>
      </c>
    </row>
    <row r="31" spans="2:16">
      <c r="B31" t="s">
        <v>216</v>
      </c>
      <c r="C31" s="21">
        <v>20</v>
      </c>
      <c r="D31" s="21">
        <v>4342238</v>
      </c>
      <c r="E31" s="21">
        <v>35318</v>
      </c>
      <c r="F31" s="21">
        <v>105951</v>
      </c>
      <c r="G31" s="21">
        <v>21483</v>
      </c>
      <c r="H31" s="21">
        <v>162752</v>
      </c>
      <c r="I31" s="14">
        <v>0.0375</v>
      </c>
      <c r="J31" s="14">
        <v>0.75</v>
      </c>
      <c r="K31" s="15">
        <v>44.84</v>
      </c>
      <c r="L31" s="16">
        <v>7297799.68</v>
      </c>
      <c r="M31" s="16">
        <v>1824449.92</v>
      </c>
      <c r="N31" s="16">
        <v>5273349.76</v>
      </c>
      <c r="O31" s="16">
        <v>60589439.85</v>
      </c>
      <c r="P31" s="16">
        <v>40742079.89</v>
      </c>
    </row>
    <row r="32" spans="2:16">
      <c r="B32" s="22" t="s">
        <v>217</v>
      </c>
      <c r="C32" s="23">
        <v>21</v>
      </c>
      <c r="D32" s="23">
        <v>4349476</v>
      </c>
      <c r="E32" s="23">
        <v>36747</v>
      </c>
      <c r="F32" s="23">
        <v>110240</v>
      </c>
      <c r="G32" s="23">
        <v>22352</v>
      </c>
      <c r="H32" s="23">
        <v>169339</v>
      </c>
      <c r="I32" s="24">
        <v>0.0389</v>
      </c>
      <c r="J32" s="24">
        <v>0.75</v>
      </c>
      <c r="K32" s="25">
        <v>44.56</v>
      </c>
      <c r="L32" s="25">
        <v>7545745.84</v>
      </c>
      <c r="M32" s="25">
        <v>1886436.46</v>
      </c>
      <c r="N32" s="25">
        <v>5459309.38</v>
      </c>
      <c r="O32" s="25">
        <v>68135185.69</v>
      </c>
      <c r="P32" s="25">
        <v>46201389.27</v>
      </c>
    </row>
    <row r="33" spans="2:16">
      <c r="B33" t="s">
        <v>218</v>
      </c>
      <c r="C33" s="21">
        <v>22</v>
      </c>
      <c r="D33" s="21">
        <v>4356725</v>
      </c>
      <c r="E33" s="21">
        <v>37973</v>
      </c>
      <c r="F33" s="21">
        <v>113919</v>
      </c>
      <c r="G33" s="21">
        <v>23098</v>
      </c>
      <c r="H33" s="21">
        <v>174990</v>
      </c>
      <c r="I33" s="14">
        <v>0.0402</v>
      </c>
      <c r="J33" s="14">
        <v>0.75</v>
      </c>
      <c r="K33" s="15">
        <v>44.29</v>
      </c>
      <c r="L33" s="16">
        <v>7750307.1</v>
      </c>
      <c r="M33" s="16">
        <v>1937576.77</v>
      </c>
      <c r="N33" s="16">
        <v>5612730.32</v>
      </c>
      <c r="O33" s="16">
        <v>75885492.79000001</v>
      </c>
      <c r="P33" s="16">
        <v>51814119.59</v>
      </c>
    </row>
    <row r="34" spans="2:16">
      <c r="B34" s="22" t="s">
        <v>219</v>
      </c>
      <c r="C34" s="23">
        <v>23</v>
      </c>
      <c r="D34" s="23">
        <v>4363986</v>
      </c>
      <c r="E34" s="23">
        <v>39020</v>
      </c>
      <c r="F34" s="23">
        <v>117058</v>
      </c>
      <c r="G34" s="23">
        <v>23735</v>
      </c>
      <c r="H34" s="23">
        <v>179813</v>
      </c>
      <c r="I34" s="24">
        <v>0.0412</v>
      </c>
      <c r="J34" s="24">
        <v>0.75</v>
      </c>
      <c r="K34" s="25">
        <v>44.01</v>
      </c>
      <c r="L34" s="25">
        <v>7913570.13</v>
      </c>
      <c r="M34" s="25">
        <v>1978392.53</v>
      </c>
      <c r="N34" s="25">
        <v>5735177.6</v>
      </c>
      <c r="O34" s="25">
        <v>83799062.92</v>
      </c>
      <c r="P34" s="25">
        <v>57549297.19</v>
      </c>
    </row>
    <row r="35" spans="2:16">
      <c r="B35" t="s">
        <v>220</v>
      </c>
      <c r="C35" s="21">
        <v>24</v>
      </c>
      <c r="D35" s="21">
        <v>4371259</v>
      </c>
      <c r="E35" s="21">
        <v>39910</v>
      </c>
      <c r="F35" s="21">
        <v>119730</v>
      </c>
      <c r="G35" s="21">
        <v>24276</v>
      </c>
      <c r="H35" s="21">
        <v>183916</v>
      </c>
      <c r="I35" s="14">
        <v>0.0421</v>
      </c>
      <c r="J35" s="14">
        <v>0.75</v>
      </c>
      <c r="K35" s="15">
        <v>43.74</v>
      </c>
      <c r="L35" s="16">
        <v>8044485.84</v>
      </c>
      <c r="M35" s="16">
        <v>2011121.46</v>
      </c>
      <c r="N35" s="16">
        <v>5833364.38</v>
      </c>
      <c r="O35" s="16">
        <v>91843548.76000001</v>
      </c>
      <c r="P35" s="16">
        <v>63382661.57</v>
      </c>
    </row>
    <row r="36" spans="2:16">
      <c r="B36" s="22" t="s">
        <v>221</v>
      </c>
      <c r="C36" s="23">
        <v>25</v>
      </c>
      <c r="D36" s="23">
        <v>4378545</v>
      </c>
      <c r="E36" s="23">
        <v>40666</v>
      </c>
      <c r="F36" s="23">
        <v>121996</v>
      </c>
      <c r="G36" s="23">
        <v>24736</v>
      </c>
      <c r="H36" s="23">
        <v>187398</v>
      </c>
      <c r="I36" s="24">
        <v>0.0428</v>
      </c>
      <c r="J36" s="24">
        <v>0.75</v>
      </c>
      <c r="K36" s="25">
        <v>43.46</v>
      </c>
      <c r="L36" s="25">
        <v>8144317.08</v>
      </c>
      <c r="M36" s="25">
        <v>2036079.27</v>
      </c>
      <c r="N36" s="25">
        <v>5908237.81</v>
      </c>
      <c r="O36" s="25">
        <v>99987865.84</v>
      </c>
      <c r="P36" s="25">
        <v>69290899.38</v>
      </c>
    </row>
    <row r="37" spans="2:16">
      <c r="B37" t="s">
        <v>222</v>
      </c>
      <c r="C37" s="21">
        <v>26</v>
      </c>
      <c r="D37" s="21">
        <v>4385842</v>
      </c>
      <c r="E37" s="21">
        <v>41307</v>
      </c>
      <c r="F37" s="21">
        <v>123919</v>
      </c>
      <c r="G37" s="21">
        <v>25126</v>
      </c>
      <c r="H37" s="21">
        <v>190352</v>
      </c>
      <c r="I37" s="14">
        <v>0.0434</v>
      </c>
      <c r="J37" s="14">
        <v>0.75</v>
      </c>
      <c r="K37" s="15">
        <v>43.19</v>
      </c>
      <c r="L37" s="16">
        <v>8221302.88</v>
      </c>
      <c r="M37" s="16">
        <v>2055325.72</v>
      </c>
      <c r="N37" s="16">
        <v>5965977.16</v>
      </c>
      <c r="O37" s="16">
        <v>108209168.72</v>
      </c>
      <c r="P37" s="16">
        <v>75256876.54000001</v>
      </c>
    </row>
    <row r="38" spans="2:16">
      <c r="B38" s="22" t="s">
        <v>223</v>
      </c>
      <c r="C38" s="23">
        <v>27</v>
      </c>
      <c r="D38" s="23">
        <v>4393152</v>
      </c>
      <c r="E38" s="23">
        <v>41851</v>
      </c>
      <c r="F38" s="23">
        <v>125551</v>
      </c>
      <c r="G38" s="23">
        <v>25457</v>
      </c>
      <c r="H38" s="23">
        <v>192859</v>
      </c>
      <c r="I38" s="24">
        <v>0.0439</v>
      </c>
      <c r="J38" s="24">
        <v>0.75</v>
      </c>
      <c r="K38" s="25">
        <v>42.91</v>
      </c>
      <c r="L38" s="25">
        <v>8275579.69</v>
      </c>
      <c r="M38" s="25">
        <v>2068894.92</v>
      </c>
      <c r="N38" s="25">
        <v>6006684.77</v>
      </c>
      <c r="O38" s="25">
        <v>116484748.41</v>
      </c>
      <c r="P38" s="25">
        <v>81263561.31</v>
      </c>
    </row>
    <row r="39" spans="2:16">
      <c r="B39" t="s">
        <v>224</v>
      </c>
      <c r="C39" s="21">
        <v>28</v>
      </c>
      <c r="D39" s="21">
        <v>4400474</v>
      </c>
      <c r="E39" s="21">
        <v>42314</v>
      </c>
      <c r="F39" s="21">
        <v>126940</v>
      </c>
      <c r="G39" s="21">
        <v>25739</v>
      </c>
      <c r="H39" s="21">
        <v>194993</v>
      </c>
      <c r="I39" s="14">
        <v>0.0443</v>
      </c>
      <c r="J39" s="14">
        <v>0.75</v>
      </c>
      <c r="K39" s="15">
        <v>42.64</v>
      </c>
      <c r="L39" s="16">
        <v>8314501.52</v>
      </c>
      <c r="M39" s="16">
        <v>2078625.38</v>
      </c>
      <c r="N39" s="16">
        <v>6035876.14</v>
      </c>
      <c r="O39" s="16">
        <v>124799249.93</v>
      </c>
      <c r="P39" s="16">
        <v>87299437.45</v>
      </c>
    </row>
    <row r="40" spans="2:16">
      <c r="B40" s="22" t="s">
        <v>225</v>
      </c>
      <c r="C40" s="23">
        <v>29</v>
      </c>
      <c r="D40" s="23">
        <v>4407808</v>
      </c>
      <c r="E40" s="23">
        <v>42709</v>
      </c>
      <c r="F40" s="23">
        <v>128125</v>
      </c>
      <c r="G40" s="23">
        <v>25979</v>
      </c>
      <c r="H40" s="23">
        <v>196813</v>
      </c>
      <c r="I40" s="24">
        <v>0.0447</v>
      </c>
      <c r="J40" s="24">
        <v>0.75</v>
      </c>
      <c r="K40" s="25">
        <v>42.36</v>
      </c>
      <c r="L40" s="25">
        <v>8336998.68</v>
      </c>
      <c r="M40" s="25">
        <v>2084249.67</v>
      </c>
      <c r="N40" s="25">
        <v>6052749.01</v>
      </c>
      <c r="O40" s="25">
        <v>133136248.61</v>
      </c>
      <c r="P40" s="25">
        <v>93352186.45999999</v>
      </c>
    </row>
    <row r="41" spans="2:16">
      <c r="B41" t="s">
        <v>226</v>
      </c>
      <c r="C41" s="21">
        <v>30</v>
      </c>
      <c r="D41" s="21">
        <v>4415154</v>
      </c>
      <c r="E41" s="21">
        <v>43048</v>
      </c>
      <c r="F41" s="21">
        <v>129141</v>
      </c>
      <c r="G41" s="21">
        <v>26185</v>
      </c>
      <c r="H41" s="21">
        <v>198374</v>
      </c>
      <c r="I41" s="14">
        <v>0.0449</v>
      </c>
      <c r="J41" s="14">
        <v>0.75</v>
      </c>
      <c r="K41" s="15">
        <v>42.09</v>
      </c>
      <c r="L41" s="16">
        <v>8349561.66</v>
      </c>
      <c r="M41" s="16">
        <v>2087390.42</v>
      </c>
      <c r="N41" s="16">
        <v>6062171.25</v>
      </c>
      <c r="O41" s="16">
        <v>141485810.27</v>
      </c>
      <c r="P41" s="16">
        <v>99414357.7</v>
      </c>
    </row>
    <row r="42" spans="2:16">
      <c r="B42" s="22" t="s">
        <v>227</v>
      </c>
      <c r="C42" s="23">
        <v>31</v>
      </c>
      <c r="D42" s="23">
        <v>4422513</v>
      </c>
      <c r="E42" s="23">
        <v>43339</v>
      </c>
      <c r="F42" s="23">
        <v>130017</v>
      </c>
      <c r="G42" s="23">
        <v>26362</v>
      </c>
      <c r="H42" s="23">
        <v>199718</v>
      </c>
      <c r="I42" s="24">
        <v>0.0452</v>
      </c>
      <c r="J42" s="24">
        <v>0.75</v>
      </c>
      <c r="K42" s="25">
        <v>41.82</v>
      </c>
      <c r="L42" s="25">
        <v>8352206.76</v>
      </c>
      <c r="M42" s="25">
        <v>2088051.69</v>
      </c>
      <c r="N42" s="25">
        <v>6064155.07</v>
      </c>
      <c r="O42" s="25">
        <v>149838017.03</v>
      </c>
      <c r="P42" s="25">
        <v>105478512.77</v>
      </c>
    </row>
    <row r="43" spans="2:16">
      <c r="B43" t="s">
        <v>228</v>
      </c>
      <c r="C43" s="21">
        <v>32</v>
      </c>
      <c r="D43" s="21">
        <v>4429884</v>
      </c>
      <c r="E43" s="21">
        <v>43593</v>
      </c>
      <c r="F43" s="21">
        <v>130776</v>
      </c>
      <c r="G43" s="21">
        <v>26516</v>
      </c>
      <c r="H43" s="21">
        <v>200885</v>
      </c>
      <c r="I43" s="14">
        <v>0.0453</v>
      </c>
      <c r="J43" s="14">
        <v>0.75</v>
      </c>
      <c r="K43" s="15">
        <v>41.54</v>
      </c>
      <c r="L43" s="16">
        <v>8344762.9</v>
      </c>
      <c r="M43" s="16">
        <v>2086190.72</v>
      </c>
      <c r="N43" s="16">
        <v>6058572.17</v>
      </c>
      <c r="O43" s="16">
        <v>158182779.93</v>
      </c>
      <c r="P43" s="16">
        <v>111537084.95</v>
      </c>
    </row>
    <row r="44" spans="2:16">
      <c r="B44" s="22" t="s">
        <v>229</v>
      </c>
      <c r="C44" s="23">
        <v>33</v>
      </c>
      <c r="D44" s="23">
        <v>4437267</v>
      </c>
      <c r="E44" s="23">
        <v>43814</v>
      </c>
      <c r="F44" s="23">
        <v>131440</v>
      </c>
      <c r="G44" s="23">
        <v>26651</v>
      </c>
      <c r="H44" s="23">
        <v>201905</v>
      </c>
      <c r="I44" s="24">
        <v>0.0455</v>
      </c>
      <c r="J44" s="24">
        <v>0.75</v>
      </c>
      <c r="K44" s="25">
        <v>41.27</v>
      </c>
      <c r="L44" s="25">
        <v>8332619.35</v>
      </c>
      <c r="M44" s="25">
        <v>2083154.84</v>
      </c>
      <c r="N44" s="25">
        <v>6049464.51</v>
      </c>
      <c r="O44" s="25">
        <v>166515399.28</v>
      </c>
      <c r="P44" s="25">
        <v>117586549.46</v>
      </c>
    </row>
    <row r="45" spans="2:16">
      <c r="B45" t="s">
        <v>230</v>
      </c>
      <c r="C45" s="21">
        <v>34</v>
      </c>
      <c r="D45" s="21">
        <v>4444662</v>
      </c>
      <c r="E45" s="21">
        <v>44009</v>
      </c>
      <c r="F45" s="21">
        <v>132025</v>
      </c>
      <c r="G45" s="21">
        <v>26770</v>
      </c>
      <c r="H45" s="21">
        <v>202804</v>
      </c>
      <c r="I45" s="14">
        <v>0.0456</v>
      </c>
      <c r="J45" s="14">
        <v>0.75</v>
      </c>
      <c r="K45" s="15">
        <v>40.99</v>
      </c>
      <c r="L45" s="16">
        <v>8312935.96</v>
      </c>
      <c r="M45" s="16">
        <v>2078233.99</v>
      </c>
      <c r="N45" s="16">
        <v>6034701.97</v>
      </c>
      <c r="O45" s="16">
        <v>174828335.24</v>
      </c>
      <c r="P45" s="16">
        <v>123621251.43</v>
      </c>
    </row>
    <row r="46" spans="2:16">
      <c r="B46" s="22" t="s">
        <v>231</v>
      </c>
      <c r="C46" s="23">
        <v>35</v>
      </c>
      <c r="D46" s="23">
        <v>4452070</v>
      </c>
      <c r="E46" s="23">
        <v>44182</v>
      </c>
      <c r="F46" s="23">
        <v>132546</v>
      </c>
      <c r="G46" s="23">
        <v>26875</v>
      </c>
      <c r="H46" s="23">
        <v>203603</v>
      </c>
      <c r="I46" s="24">
        <v>0.0457</v>
      </c>
      <c r="J46" s="24">
        <v>0.75</v>
      </c>
      <c r="K46" s="25">
        <v>40.72</v>
      </c>
      <c r="L46" s="25">
        <v>8290714.16</v>
      </c>
      <c r="M46" s="25">
        <v>2072678.54</v>
      </c>
      <c r="N46" s="25">
        <v>6018035.62</v>
      </c>
      <c r="O46" s="25">
        <v>183119049.4</v>
      </c>
      <c r="P46" s="25">
        <v>129639287.05</v>
      </c>
    </row>
    <row r="47" spans="2:16">
      <c r="B47" t="s">
        <v>232</v>
      </c>
      <c r="C47" s="21">
        <v>36</v>
      </c>
      <c r="D47" s="21">
        <v>4459490</v>
      </c>
      <c r="E47" s="21">
        <v>44338</v>
      </c>
      <c r="F47" s="21">
        <v>133013</v>
      </c>
      <c r="G47" s="21">
        <v>26970</v>
      </c>
      <c r="H47" s="21">
        <v>204321</v>
      </c>
      <c r="I47" s="14">
        <v>0.0458</v>
      </c>
      <c r="J47" s="14">
        <v>0.75</v>
      </c>
      <c r="K47" s="15">
        <v>40.44</v>
      </c>
      <c r="L47" s="16">
        <v>8262741.24</v>
      </c>
      <c r="M47" s="16">
        <v>2065685.31</v>
      </c>
      <c r="N47" s="16">
        <v>5997055.93</v>
      </c>
      <c r="O47" s="16">
        <v>191381790.64</v>
      </c>
      <c r="P47" s="16">
        <v>135636342.98</v>
      </c>
    </row>
    <row r="48" spans="2:16">
      <c r="B48" s="22" t="s">
        <v>233</v>
      </c>
      <c r="C48" s="23">
        <v>37</v>
      </c>
      <c r="D48" s="23">
        <v>4466923</v>
      </c>
      <c r="E48" s="23">
        <v>44479</v>
      </c>
      <c r="F48" s="23">
        <v>133437</v>
      </c>
      <c r="G48" s="23">
        <v>27056</v>
      </c>
      <c r="H48" s="23">
        <v>204972</v>
      </c>
      <c r="I48" s="24">
        <v>0.0459</v>
      </c>
      <c r="J48" s="24">
        <v>0.75</v>
      </c>
      <c r="K48" s="25">
        <v>40.17</v>
      </c>
      <c r="L48" s="25">
        <v>8233725.24</v>
      </c>
      <c r="M48" s="25">
        <v>2058431.31</v>
      </c>
      <c r="N48" s="25">
        <v>5975293.93</v>
      </c>
      <c r="O48" s="25">
        <v>199615515.88</v>
      </c>
      <c r="P48" s="25">
        <v>141611636.91</v>
      </c>
    </row>
    <row r="49" spans="2:16">
      <c r="B49" t="s">
        <v>234</v>
      </c>
      <c r="C49" s="21">
        <v>38</v>
      </c>
      <c r="D49" s="21">
        <v>4474368</v>
      </c>
      <c r="E49" s="21">
        <v>44609</v>
      </c>
      <c r="F49" s="21">
        <v>133825</v>
      </c>
      <c r="G49" s="21">
        <v>27134</v>
      </c>
      <c r="H49" s="21">
        <v>205568</v>
      </c>
      <c r="I49" s="14">
        <v>0.0459</v>
      </c>
      <c r="J49" s="14">
        <v>0.75</v>
      </c>
      <c r="K49" s="15">
        <v>39.89</v>
      </c>
      <c r="L49" s="16">
        <v>8200107.52</v>
      </c>
      <c r="M49" s="16">
        <v>2050026.88</v>
      </c>
      <c r="N49" s="16">
        <v>5950080.64</v>
      </c>
      <c r="O49" s="16">
        <v>207815623.4</v>
      </c>
      <c r="P49" s="16">
        <v>147561717.55</v>
      </c>
    </row>
    <row r="50" spans="2:16">
      <c r="B50" s="22" t="s">
        <v>235</v>
      </c>
      <c r="C50" s="23">
        <v>39</v>
      </c>
      <c r="D50" s="23">
        <v>4481825</v>
      </c>
      <c r="E50" s="23">
        <v>44728</v>
      </c>
      <c r="F50" s="23">
        <v>134184</v>
      </c>
      <c r="G50" s="23">
        <v>27207</v>
      </c>
      <c r="H50" s="23">
        <v>206119</v>
      </c>
      <c r="I50" s="24">
        <v>0.046</v>
      </c>
      <c r="J50" s="24">
        <v>0.75</v>
      </c>
      <c r="K50" s="25">
        <v>39.62</v>
      </c>
      <c r="L50" s="25">
        <v>8166434.78</v>
      </c>
      <c r="M50" s="25">
        <v>2041608.69</v>
      </c>
      <c r="N50" s="25">
        <v>5924826.08</v>
      </c>
      <c r="O50" s="25">
        <v>215982058.18</v>
      </c>
      <c r="P50" s="25">
        <v>153486543.64</v>
      </c>
    </row>
    <row r="51" spans="2:16">
      <c r="B51" t="s">
        <v>236</v>
      </c>
      <c r="C51" s="21">
        <v>40</v>
      </c>
      <c r="D51" s="21">
        <v>4489295</v>
      </c>
      <c r="E51" s="21">
        <v>44840</v>
      </c>
      <c r="F51" s="21">
        <v>134519</v>
      </c>
      <c r="G51" s="21">
        <v>27275</v>
      </c>
      <c r="H51" s="21">
        <v>206634</v>
      </c>
      <c r="I51" s="14">
        <v>0.046</v>
      </c>
      <c r="J51" s="14">
        <v>0.75</v>
      </c>
      <c r="K51" s="15">
        <v>39.35</v>
      </c>
      <c r="L51" s="16">
        <v>8131047.9</v>
      </c>
      <c r="M51" s="16">
        <v>2032761.98</v>
      </c>
      <c r="N51" s="16">
        <v>5898285.93</v>
      </c>
      <c r="O51" s="16">
        <v>224113106.08</v>
      </c>
      <c r="P51" s="16">
        <v>159384829.56</v>
      </c>
    </row>
    <row r="52" spans="2:16">
      <c r="B52" s="22" t="s">
        <v>237</v>
      </c>
      <c r="C52" s="23">
        <v>41</v>
      </c>
      <c r="D52" s="23">
        <v>4496777</v>
      </c>
      <c r="E52" s="23">
        <v>44945</v>
      </c>
      <c r="F52" s="23">
        <v>134835</v>
      </c>
      <c r="G52" s="23">
        <v>27339</v>
      </c>
      <c r="H52" s="23">
        <v>207119</v>
      </c>
      <c r="I52" s="24">
        <v>0.0461</v>
      </c>
      <c r="J52" s="24">
        <v>0.75</v>
      </c>
      <c r="K52" s="25">
        <v>39.07</v>
      </c>
      <c r="L52" s="25">
        <v>8092139.33</v>
      </c>
      <c r="M52" s="25">
        <v>2023034.83</v>
      </c>
      <c r="N52" s="25">
        <v>5869104.5</v>
      </c>
      <c r="O52" s="25">
        <v>232205245.41</v>
      </c>
      <c r="P52" s="25">
        <v>165253934.06</v>
      </c>
    </row>
    <row r="53" spans="2:16">
      <c r="B53" t="s">
        <v>238</v>
      </c>
      <c r="C53" s="21">
        <v>42</v>
      </c>
      <c r="D53" s="21">
        <v>4504271</v>
      </c>
      <c r="E53" s="21">
        <v>45045</v>
      </c>
      <c r="F53" s="21">
        <v>135134</v>
      </c>
      <c r="G53" s="21">
        <v>27400</v>
      </c>
      <c r="H53" s="21">
        <v>207579</v>
      </c>
      <c r="I53" s="14">
        <v>0.0461</v>
      </c>
      <c r="J53" s="14">
        <v>0.75</v>
      </c>
      <c r="K53" s="15">
        <v>38.8</v>
      </c>
      <c r="L53" s="16">
        <v>8054065.2</v>
      </c>
      <c r="M53" s="16">
        <v>2013516.3</v>
      </c>
      <c r="N53" s="16">
        <v>5840548.9</v>
      </c>
      <c r="O53" s="16">
        <v>240259310.61</v>
      </c>
      <c r="P53" s="16">
        <v>171094482.96</v>
      </c>
    </row>
    <row r="54" spans="2:16">
      <c r="B54" s="22" t="s">
        <v>239</v>
      </c>
      <c r="C54" s="23">
        <v>43</v>
      </c>
      <c r="D54" s="23">
        <v>4511779</v>
      </c>
      <c r="E54" s="23">
        <v>45141</v>
      </c>
      <c r="F54" s="23">
        <v>135420</v>
      </c>
      <c r="G54" s="23">
        <v>27458</v>
      </c>
      <c r="H54" s="23">
        <v>208019</v>
      </c>
      <c r="I54" s="24">
        <v>0.0461</v>
      </c>
      <c r="J54" s="24">
        <v>0.75</v>
      </c>
      <c r="K54" s="25">
        <v>38.52</v>
      </c>
      <c r="L54" s="25">
        <v>8012891.88</v>
      </c>
      <c r="M54" s="25">
        <v>2003222.97</v>
      </c>
      <c r="N54" s="25">
        <v>5809668.91</v>
      </c>
      <c r="O54" s="25">
        <v>248272202.49</v>
      </c>
      <c r="P54" s="25">
        <v>176904151.87</v>
      </c>
    </row>
    <row r="55" spans="2:16">
      <c r="B55" t="s">
        <v>240</v>
      </c>
      <c r="C55" s="21">
        <v>44</v>
      </c>
      <c r="D55" s="21">
        <v>4519298</v>
      </c>
      <c r="E55" s="21">
        <v>45233</v>
      </c>
      <c r="F55" s="21">
        <v>135696</v>
      </c>
      <c r="G55" s="21">
        <v>27514</v>
      </c>
      <c r="H55" s="21">
        <v>208443</v>
      </c>
      <c r="I55" s="14">
        <v>0.0461</v>
      </c>
      <c r="J55" s="14">
        <v>0.75</v>
      </c>
      <c r="K55" s="15">
        <v>38.25</v>
      </c>
      <c r="L55" s="16">
        <v>7972944.75</v>
      </c>
      <c r="M55" s="16">
        <v>1993236.19</v>
      </c>
      <c r="N55" s="16">
        <v>5779708.56</v>
      </c>
      <c r="O55" s="16">
        <v>256245147.24</v>
      </c>
      <c r="P55" s="16">
        <v>182683860.43</v>
      </c>
    </row>
    <row r="56" spans="2:16">
      <c r="B56" s="22" t="s">
        <v>241</v>
      </c>
      <c r="C56" s="23">
        <v>45</v>
      </c>
      <c r="D56" s="23">
        <v>4526830</v>
      </c>
      <c r="E56" s="23">
        <v>45322</v>
      </c>
      <c r="F56" s="23">
        <v>135964</v>
      </c>
      <c r="G56" s="23">
        <v>27568</v>
      </c>
      <c r="H56" s="23">
        <v>208854</v>
      </c>
      <c r="I56" s="24">
        <v>0.0461</v>
      </c>
      <c r="J56" s="24">
        <v>0.75</v>
      </c>
      <c r="K56" s="25">
        <v>37.97</v>
      </c>
      <c r="L56" s="25">
        <v>7930186.38</v>
      </c>
      <c r="M56" s="25">
        <v>1982546.59</v>
      </c>
      <c r="N56" s="25">
        <v>5747639.79</v>
      </c>
      <c r="O56" s="25">
        <v>264175333.62</v>
      </c>
      <c r="P56" s="25">
        <v>188431500.22</v>
      </c>
    </row>
    <row r="57" spans="2:16">
      <c r="B57" t="s">
        <v>242</v>
      </c>
      <c r="C57" s="21">
        <v>46</v>
      </c>
      <c r="D57" s="21">
        <v>4534375</v>
      </c>
      <c r="E57" s="21">
        <v>45409</v>
      </c>
      <c r="F57" s="21">
        <v>136224</v>
      </c>
      <c r="G57" s="21">
        <v>27621</v>
      </c>
      <c r="H57" s="21">
        <v>209254</v>
      </c>
      <c r="I57" s="14">
        <v>0.0461</v>
      </c>
      <c r="J57" s="14">
        <v>0.75</v>
      </c>
      <c r="K57" s="15">
        <v>37.7</v>
      </c>
      <c r="L57" s="16">
        <v>7888875.8</v>
      </c>
      <c r="M57" s="16">
        <v>1972218.95</v>
      </c>
      <c r="N57" s="16">
        <v>5716656.85</v>
      </c>
      <c r="O57" s="16">
        <v>272064209.42</v>
      </c>
      <c r="P57" s="16">
        <v>194148157.07</v>
      </c>
    </row>
    <row r="58" spans="2:16">
      <c r="B58" s="22" t="s">
        <v>243</v>
      </c>
      <c r="C58" s="23">
        <v>47</v>
      </c>
      <c r="D58" s="23">
        <v>4541932</v>
      </c>
      <c r="E58" s="23">
        <v>45493</v>
      </c>
      <c r="F58" s="23">
        <v>136479</v>
      </c>
      <c r="G58" s="23">
        <v>27673</v>
      </c>
      <c r="H58" s="23">
        <v>209645</v>
      </c>
      <c r="I58" s="24">
        <v>0.0462</v>
      </c>
      <c r="J58" s="24">
        <v>0.75</v>
      </c>
      <c r="K58" s="25">
        <v>37.42</v>
      </c>
      <c r="L58" s="25">
        <v>7844915.9</v>
      </c>
      <c r="M58" s="25">
        <v>1961228.98</v>
      </c>
      <c r="N58" s="25">
        <v>5683686.93</v>
      </c>
      <c r="O58" s="25">
        <v>279909125.32</v>
      </c>
      <c r="P58" s="25">
        <v>199831843.99</v>
      </c>
    </row>
    <row r="59" spans="2:16">
      <c r="B59" t="s">
        <v>244</v>
      </c>
      <c r="C59" s="21">
        <v>48</v>
      </c>
      <c r="D59" s="21">
        <v>4549502</v>
      </c>
      <c r="E59" s="21">
        <v>45577</v>
      </c>
      <c r="F59" s="21">
        <v>136729</v>
      </c>
      <c r="G59" s="21">
        <v>27723</v>
      </c>
      <c r="H59" s="21">
        <v>210029</v>
      </c>
      <c r="I59" s="14">
        <v>0.0462</v>
      </c>
      <c r="J59" s="14">
        <v>0.75</v>
      </c>
      <c r="K59" s="15">
        <v>37.15</v>
      </c>
      <c r="L59" s="16">
        <v>7802577.35</v>
      </c>
      <c r="M59" s="16">
        <v>1950644.34</v>
      </c>
      <c r="N59" s="16">
        <v>5651933.01</v>
      </c>
      <c r="O59" s="16">
        <v>287711702.67</v>
      </c>
      <c r="P59" s="16">
        <v>205483777</v>
      </c>
    </row>
    <row r="60" spans="2:16">
      <c r="B60" s="22" t="s">
        <v>245</v>
      </c>
      <c r="C60" s="23">
        <v>49</v>
      </c>
      <c r="D60" s="23">
        <v>4557085</v>
      </c>
      <c r="E60" s="23">
        <v>45659</v>
      </c>
      <c r="F60" s="23">
        <v>136976</v>
      </c>
      <c r="G60" s="23">
        <v>27773</v>
      </c>
      <c r="H60" s="23">
        <v>210408</v>
      </c>
      <c r="I60" s="24">
        <v>0.0462</v>
      </c>
      <c r="J60" s="24">
        <v>0.75</v>
      </c>
      <c r="K60" s="25">
        <v>36.87</v>
      </c>
      <c r="L60" s="25">
        <v>7757742.96</v>
      </c>
      <c r="M60" s="25">
        <v>1939435.74</v>
      </c>
      <c r="N60" s="25">
        <v>5618307.22</v>
      </c>
      <c r="O60" s="25">
        <v>295469445.63</v>
      </c>
      <c r="P60" s="25">
        <v>211102084.22</v>
      </c>
    </row>
    <row r="61" spans="2:16">
      <c r="B61" t="s">
        <v>246</v>
      </c>
      <c r="C61" s="21">
        <v>50</v>
      </c>
      <c r="D61" s="21">
        <v>4564680</v>
      </c>
      <c r="E61" s="21">
        <v>45740</v>
      </c>
      <c r="F61" s="21">
        <v>137219</v>
      </c>
      <c r="G61" s="21">
        <v>27823</v>
      </c>
      <c r="H61" s="21">
        <v>210782</v>
      </c>
      <c r="I61" s="14">
        <v>0.0462</v>
      </c>
      <c r="J61" s="14">
        <v>0.75</v>
      </c>
      <c r="K61" s="15">
        <v>36.6</v>
      </c>
      <c r="L61" s="16">
        <v>7714621.2</v>
      </c>
      <c r="M61" s="16">
        <v>1928655.3</v>
      </c>
      <c r="N61" s="16">
        <v>5585965.9</v>
      </c>
      <c r="O61" s="16">
        <v>303184066.83</v>
      </c>
      <c r="P61" s="16">
        <v>216688050.12</v>
      </c>
    </row>
    <row r="62" spans="2:16">
      <c r="B62" s="22" t="s">
        <v>247</v>
      </c>
      <c r="C62" s="23">
        <v>51</v>
      </c>
      <c r="D62" s="23">
        <v>4572288</v>
      </c>
      <c r="E62" s="23">
        <v>45821</v>
      </c>
      <c r="F62" s="23">
        <v>137460</v>
      </c>
      <c r="G62" s="23">
        <v>27872</v>
      </c>
      <c r="H62" s="23">
        <v>211153</v>
      </c>
      <c r="I62" s="24">
        <v>0.0462</v>
      </c>
      <c r="J62" s="24">
        <v>0.75</v>
      </c>
      <c r="K62" s="25">
        <v>36.6</v>
      </c>
      <c r="L62" s="25">
        <v>7728199.8</v>
      </c>
      <c r="M62" s="25">
        <v>1932049.95</v>
      </c>
      <c r="N62" s="25">
        <v>5596149.85</v>
      </c>
      <c r="O62" s="25">
        <v>310912266.63</v>
      </c>
      <c r="P62" s="25">
        <v>222284199.97</v>
      </c>
    </row>
    <row r="63" spans="2:16">
      <c r="B63" t="s">
        <v>248</v>
      </c>
      <c r="C63" s="21">
        <v>52</v>
      </c>
      <c r="D63" s="21">
        <v>4579908</v>
      </c>
      <c r="E63" s="21">
        <v>45900</v>
      </c>
      <c r="F63" s="21">
        <v>137700</v>
      </c>
      <c r="G63" s="21">
        <v>27920</v>
      </c>
      <c r="H63" s="21">
        <v>211520</v>
      </c>
      <c r="I63" s="14">
        <v>0.0462</v>
      </c>
      <c r="J63" s="14">
        <v>0.75</v>
      </c>
      <c r="K63" s="15">
        <v>36.6</v>
      </c>
      <c r="L63" s="16">
        <v>7741632</v>
      </c>
      <c r="M63" s="16">
        <v>1935408</v>
      </c>
      <c r="N63" s="16">
        <v>5606224</v>
      </c>
      <c r="O63" s="16">
        <v>318653898.63</v>
      </c>
      <c r="P63" s="16">
        <v>227890423.97</v>
      </c>
    </row>
    <row r="64" spans="2:16">
      <c r="B64" s="22" t="s">
        <v>249</v>
      </c>
      <c r="C64" s="23">
        <v>53</v>
      </c>
      <c r="D64" s="23">
        <v>4587541</v>
      </c>
      <c r="E64" s="23">
        <v>45980</v>
      </c>
      <c r="F64" s="23">
        <v>137938</v>
      </c>
      <c r="G64" s="23">
        <v>27968</v>
      </c>
      <c r="H64" s="23">
        <v>211886</v>
      </c>
      <c r="I64" s="24">
        <v>0.0462</v>
      </c>
      <c r="J64" s="24">
        <v>0.75</v>
      </c>
      <c r="K64" s="25">
        <v>36.6</v>
      </c>
      <c r="L64" s="25">
        <v>7755027.6</v>
      </c>
      <c r="M64" s="25">
        <v>1938756.9</v>
      </c>
      <c r="N64" s="25">
        <v>5616270.7</v>
      </c>
      <c r="O64" s="25">
        <v>326408926.23</v>
      </c>
      <c r="P64" s="25">
        <v>233506694.67</v>
      </c>
    </row>
    <row r="65" spans="2:16">
      <c r="B65" t="s">
        <v>250</v>
      </c>
      <c r="C65" s="21">
        <v>54</v>
      </c>
      <c r="D65" s="21">
        <v>4595187</v>
      </c>
      <c r="E65" s="21">
        <v>46059</v>
      </c>
      <c r="F65" s="21">
        <v>138174</v>
      </c>
      <c r="G65" s="21">
        <v>28016</v>
      </c>
      <c r="H65" s="21">
        <v>212249</v>
      </c>
      <c r="I65" s="14">
        <v>0.0462</v>
      </c>
      <c r="J65" s="14">
        <v>0.75</v>
      </c>
      <c r="K65" s="15">
        <v>36.6</v>
      </c>
      <c r="L65" s="16">
        <v>7768313.4</v>
      </c>
      <c r="M65" s="16">
        <v>1942078.35</v>
      </c>
      <c r="N65" s="16">
        <v>5626235.05</v>
      </c>
      <c r="O65" s="16">
        <v>334177239.63</v>
      </c>
      <c r="P65" s="16">
        <v>239132929.72</v>
      </c>
    </row>
    <row r="66" spans="2:16">
      <c r="B66" s="22" t="s">
        <v>251</v>
      </c>
      <c r="C66" s="23">
        <v>55</v>
      </c>
      <c r="D66" s="23">
        <v>4602846</v>
      </c>
      <c r="E66" s="23">
        <v>46137</v>
      </c>
      <c r="F66" s="23">
        <v>138411</v>
      </c>
      <c r="G66" s="23">
        <v>28064</v>
      </c>
      <c r="H66" s="23">
        <v>212612</v>
      </c>
      <c r="I66" s="24">
        <v>0.0462</v>
      </c>
      <c r="J66" s="24">
        <v>0.75</v>
      </c>
      <c r="K66" s="25">
        <v>36.6</v>
      </c>
      <c r="L66" s="25">
        <v>7781599.2</v>
      </c>
      <c r="M66" s="25">
        <v>1945399.8</v>
      </c>
      <c r="N66" s="25">
        <v>5636199.4</v>
      </c>
      <c r="O66" s="25">
        <v>341958838.83</v>
      </c>
      <c r="P66" s="25">
        <v>244769129.12</v>
      </c>
    </row>
    <row r="67" spans="2:16">
      <c r="B67" t="s">
        <v>252</v>
      </c>
      <c r="C67" s="21">
        <v>56</v>
      </c>
      <c r="D67" s="21">
        <v>4610517</v>
      </c>
      <c r="E67" s="21">
        <v>46216</v>
      </c>
      <c r="F67" s="21">
        <v>138645</v>
      </c>
      <c r="G67" s="21">
        <v>28112</v>
      </c>
      <c r="H67" s="21">
        <v>212973</v>
      </c>
      <c r="I67" s="14">
        <v>0.0462</v>
      </c>
      <c r="J67" s="14">
        <v>0.75</v>
      </c>
      <c r="K67" s="15">
        <v>36.6</v>
      </c>
      <c r="L67" s="16">
        <v>7794811.8</v>
      </c>
      <c r="M67" s="16">
        <v>1948702.95</v>
      </c>
      <c r="N67" s="16">
        <v>5646108.85</v>
      </c>
      <c r="O67" s="16">
        <v>349753650.63</v>
      </c>
      <c r="P67" s="16">
        <v>250415237.97</v>
      </c>
    </row>
    <row r="68" spans="2:16">
      <c r="B68" s="22" t="s">
        <v>253</v>
      </c>
      <c r="C68" s="23">
        <v>57</v>
      </c>
      <c r="D68" s="23">
        <v>4618201</v>
      </c>
      <c r="E68" s="23">
        <v>46294</v>
      </c>
      <c r="F68" s="23">
        <v>138880</v>
      </c>
      <c r="G68" s="23">
        <v>28160</v>
      </c>
      <c r="H68" s="23">
        <v>213334</v>
      </c>
      <c r="I68" s="24">
        <v>0.0462</v>
      </c>
      <c r="J68" s="24">
        <v>0.75</v>
      </c>
      <c r="K68" s="25">
        <v>36.6</v>
      </c>
      <c r="L68" s="25">
        <v>7808024.4</v>
      </c>
      <c r="M68" s="25">
        <v>1952006.1</v>
      </c>
      <c r="N68" s="25">
        <v>5656018.3</v>
      </c>
      <c r="O68" s="25">
        <v>357561675.03</v>
      </c>
      <c r="P68" s="25">
        <v>256071256.27</v>
      </c>
    </row>
    <row r="69" spans="2:16">
      <c r="B69" t="s">
        <v>254</v>
      </c>
      <c r="C69" s="21">
        <v>58</v>
      </c>
      <c r="D69" s="21">
        <v>4625898</v>
      </c>
      <c r="E69" s="21">
        <v>46372</v>
      </c>
      <c r="F69" s="21">
        <v>139115</v>
      </c>
      <c r="G69" s="21">
        <v>28207</v>
      </c>
      <c r="H69" s="21">
        <v>213694</v>
      </c>
      <c r="I69" s="14">
        <v>0.0462</v>
      </c>
      <c r="J69" s="14">
        <v>0.75</v>
      </c>
      <c r="K69" s="15">
        <v>36.6</v>
      </c>
      <c r="L69" s="16">
        <v>7821200.4</v>
      </c>
      <c r="M69" s="16">
        <v>1955300.1</v>
      </c>
      <c r="N69" s="16">
        <v>5665900.3</v>
      </c>
      <c r="O69" s="16">
        <v>365382875.43</v>
      </c>
      <c r="P69" s="16">
        <v>261737156.57</v>
      </c>
    </row>
    <row r="70" spans="2:16">
      <c r="B70" s="22" t="s">
        <v>255</v>
      </c>
      <c r="C70" s="23">
        <v>59</v>
      </c>
      <c r="D70" s="23">
        <v>4633608</v>
      </c>
      <c r="E70" s="23">
        <v>46450</v>
      </c>
      <c r="F70" s="23">
        <v>139350</v>
      </c>
      <c r="G70" s="23">
        <v>28255</v>
      </c>
      <c r="H70" s="23">
        <v>214055</v>
      </c>
      <c r="I70" s="24">
        <v>0.0462</v>
      </c>
      <c r="J70" s="24">
        <v>0.75</v>
      </c>
      <c r="K70" s="25">
        <v>36.6</v>
      </c>
      <c r="L70" s="25">
        <v>7834413</v>
      </c>
      <c r="M70" s="25">
        <v>1958603.25</v>
      </c>
      <c r="N70" s="25">
        <v>5675809.75</v>
      </c>
      <c r="O70" s="25">
        <v>373217288.43</v>
      </c>
      <c r="P70" s="25">
        <v>267412966.32</v>
      </c>
    </row>
  </sheetData>
  <mergeCells count="12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B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2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276</v>
      </c>
      <c r="C2" s="1"/>
      <c r="D2" s="1"/>
      <c r="E2" s="1"/>
    </row>
    <row r="4" spans="2:5">
      <c r="B4" s="3" t="s">
        <v>277</v>
      </c>
      <c r="C4" s="3"/>
      <c r="D4" s="3"/>
      <c r="E4" s="3"/>
    </row>
    <row r="5" spans="2:5">
      <c r="C5" s="13" t="s">
        <v>123</v>
      </c>
      <c r="D5" s="13" t="s">
        <v>124</v>
      </c>
      <c r="E5" s="13" t="s">
        <v>125</v>
      </c>
    </row>
    <row r="6" spans="2:5">
      <c r="B6" s="4" t="s">
        <v>278</v>
      </c>
      <c r="C6" s="16">
        <v>1360981052.8</v>
      </c>
      <c r="D6" s="16">
        <v>1112634932.05</v>
      </c>
      <c r="E6" s="16">
        <v>805586901.5899999</v>
      </c>
    </row>
    <row r="7" spans="2:5">
      <c r="B7" s="4" t="s">
        <v>279</v>
      </c>
      <c r="C7" s="16">
        <v>5895163640.9</v>
      </c>
      <c r="D7" s="16">
        <v>7161575518.4</v>
      </c>
      <c r="E7" s="16">
        <v>8131190090.259999</v>
      </c>
    </row>
    <row r="8" spans="2:5">
      <c r="B8" s="4" t="s">
        <v>280</v>
      </c>
      <c r="C8" s="14">
        <v>-0.303047965742738</v>
      </c>
      <c r="D8" s="14">
        <v>-0.4302248531068324</v>
      </c>
      <c r="E8" s="14">
        <v>-0.5874627139892574</v>
      </c>
    </row>
    <row r="9" spans="2:5">
      <c r="B9" s="4" t="s">
        <v>281</v>
      </c>
      <c r="C9" s="14">
        <v>0.2546</v>
      </c>
      <c r="D9" s="14">
        <v>0.1591</v>
      </c>
      <c r="E9" s="14">
        <v>0.0878</v>
      </c>
    </row>
    <row r="10" spans="2:5">
      <c r="B10" s="4" t="s">
        <v>282</v>
      </c>
      <c r="C10" s="14">
        <v>0.2049</v>
      </c>
      <c r="D10" s="14">
        <v>0.1251</v>
      </c>
      <c r="E10" s="14">
        <v>0.08019999999999999</v>
      </c>
    </row>
    <row r="13" spans="2:5">
      <c r="B13" s="3" t="s">
        <v>283</v>
      </c>
      <c r="C13" s="3"/>
      <c r="D13" s="3"/>
      <c r="E13" s="3"/>
    </row>
    <row r="14" spans="2:5">
      <c r="C14" s="13" t="s">
        <v>123</v>
      </c>
      <c r="D14" s="13" t="s">
        <v>124</v>
      </c>
      <c r="E14" s="13" t="s">
        <v>125</v>
      </c>
    </row>
    <row r="15" spans="2:5">
      <c r="B15" s="4" t="s">
        <v>257</v>
      </c>
      <c r="C15" s="16">
        <v>6163030.87</v>
      </c>
      <c r="D15" s="16">
        <v>10349792.95</v>
      </c>
      <c r="E15" s="16">
        <v>14041808.27</v>
      </c>
    </row>
    <row r="16" spans="2:5">
      <c r="B16" s="4" t="s">
        <v>258</v>
      </c>
      <c r="C16" s="16">
        <v>228802389.89</v>
      </c>
      <c r="D16" s="16">
        <v>373217288.4299999</v>
      </c>
      <c r="E16" s="16">
        <v>496517934.55</v>
      </c>
    </row>
    <row r="17" spans="2:5">
      <c r="B17" s="4" t="s">
        <v>259</v>
      </c>
      <c r="C17" s="16">
        <v>159101792.41</v>
      </c>
      <c r="D17" s="16">
        <v>267412966.32</v>
      </c>
      <c r="E17" s="16">
        <v>359888450.91</v>
      </c>
    </row>
    <row r="18" spans="2:5">
      <c r="B18" s="4" t="s">
        <v>260</v>
      </c>
      <c r="C18" s="14">
        <v>0.0231</v>
      </c>
      <c r="D18" s="14">
        <v>0.0462</v>
      </c>
      <c r="E18" s="14">
        <v>0.0693</v>
      </c>
    </row>
    <row r="19" spans="2:5">
      <c r="B19" s="4" t="s">
        <v>284</v>
      </c>
      <c r="C19" s="14">
        <v>0.64380727101137</v>
      </c>
      <c r="D19" s="14">
        <v>0.6438064779570211</v>
      </c>
      <c r="E19" s="14">
        <v>0.6438065027434741</v>
      </c>
    </row>
    <row r="20" spans="2:5">
      <c r="B20" s="4" t="s">
        <v>285</v>
      </c>
      <c r="C20" s="14">
        <v>0.1304237230798056</v>
      </c>
      <c r="D20" s="14">
        <v>0.1304261179249876</v>
      </c>
      <c r="E20" s="14">
        <v>0.1304269884874418</v>
      </c>
    </row>
  </sheetData>
  <mergeCells count="3">
    <mergeCell ref="B2:E2"/>
    <mergeCell ref="B4:E4"/>
    <mergeCell ref="B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C3AED"/>
  </sheetPr>
  <dimension ref="B2:E62"/>
  <sheetViews>
    <sheetView showGridLines="0" workbookViewId="0"/>
  </sheetViews>
  <sheetFormatPr defaultRowHeight="15"/>
  <cols>
    <col min="1" max="1" width="3.7109375" customWidth="1"/>
    <col min="2" max="2" width="32.7109375" customWidth="1"/>
    <col min="3" max="3" width="22.7109375" customWidth="1"/>
    <col min="4" max="4" width="50.7109375" customWidth="1"/>
    <col min="5" max="5" width="40.7109375" customWidth="1"/>
  </cols>
  <sheetData>
    <row r="2" spans="2:5">
      <c r="B2" s="1" t="s">
        <v>286</v>
      </c>
      <c r="C2" s="1"/>
      <c r="D2" s="1"/>
      <c r="E2" s="1"/>
    </row>
    <row r="3" spans="2:5">
      <c r="B3" s="2" t="s">
        <v>287</v>
      </c>
      <c r="C3" s="2"/>
      <c r="D3" s="2"/>
      <c r="E3" s="2"/>
    </row>
    <row r="5" spans="2:5">
      <c r="B5" s="4" t="s">
        <v>288</v>
      </c>
      <c r="C5" s="30" t="s">
        <v>289</v>
      </c>
      <c r="D5" s="12" t="s">
        <v>290</v>
      </c>
    </row>
    <row r="6" spans="2:5">
      <c r="C6" s="31" t="s">
        <v>291</v>
      </c>
      <c r="D6" s="12" t="s">
        <v>292</v>
      </c>
    </row>
    <row r="7" spans="2:5">
      <c r="C7" s="32" t="s">
        <v>293</v>
      </c>
      <c r="D7" s="12" t="s">
        <v>294</v>
      </c>
    </row>
    <row r="8" spans="2:5">
      <c r="C8" s="33" t="s">
        <v>295</v>
      </c>
      <c r="D8" s="12" t="s">
        <v>296</v>
      </c>
    </row>
    <row r="10" spans="2:5">
      <c r="B10" s="3" t="s">
        <v>297</v>
      </c>
      <c r="C10" s="3"/>
      <c r="D10" s="3"/>
      <c r="E10" s="3"/>
    </row>
    <row r="11" spans="2:5">
      <c r="B11" s="13" t="s">
        <v>298</v>
      </c>
      <c r="C11" s="13" t="s">
        <v>299</v>
      </c>
      <c r="D11" s="13" t="s">
        <v>300</v>
      </c>
      <c r="E11" s="13" t="s">
        <v>301</v>
      </c>
    </row>
    <row r="12" spans="2:5">
      <c r="B12" s="4" t="s">
        <v>302</v>
      </c>
      <c r="C12" s="30" t="s">
        <v>10</v>
      </c>
      <c r="D12" s="12" t="s">
        <v>303</v>
      </c>
      <c r="E12" s="30" t="s">
        <v>289</v>
      </c>
    </row>
    <row r="13" spans="2:5">
      <c r="B13" s="4" t="s">
        <v>304</v>
      </c>
      <c r="C13" s="30" t="s">
        <v>305</v>
      </c>
      <c r="D13" s="12" t="s">
        <v>306</v>
      </c>
      <c r="E13" s="30" t="s">
        <v>289</v>
      </c>
    </row>
    <row r="14" spans="2:5">
      <c r="B14" s="4" t="s">
        <v>307</v>
      </c>
      <c r="C14" s="30" t="s">
        <v>308</v>
      </c>
      <c r="D14" s="12" t="s">
        <v>309</v>
      </c>
      <c r="E14" s="30" t="s">
        <v>289</v>
      </c>
    </row>
    <row r="15" spans="2:5">
      <c r="B15" s="4" t="s">
        <v>310</v>
      </c>
      <c r="C15" s="30" t="s">
        <v>311</v>
      </c>
      <c r="D15" s="12" t="s">
        <v>312</v>
      </c>
      <c r="E15" s="30" t="s">
        <v>289</v>
      </c>
    </row>
    <row r="16" spans="2:5">
      <c r="B16" s="4" t="s">
        <v>313</v>
      </c>
      <c r="C16" s="30" t="s">
        <v>314</v>
      </c>
      <c r="D16" s="12" t="s">
        <v>315</v>
      </c>
      <c r="E16" s="30" t="s">
        <v>289</v>
      </c>
    </row>
    <row r="17" spans="2:5">
      <c r="B17" s="4" t="s">
        <v>316</v>
      </c>
      <c r="C17" s="30" t="s">
        <v>317</v>
      </c>
      <c r="D17" s="12" t="s">
        <v>318</v>
      </c>
      <c r="E17" s="30" t="s">
        <v>289</v>
      </c>
    </row>
    <row r="18" spans="2:5">
      <c r="B18" s="4" t="s">
        <v>319</v>
      </c>
      <c r="C18" s="30" t="s">
        <v>320</v>
      </c>
      <c r="D18" s="12" t="s">
        <v>321</v>
      </c>
      <c r="E18" s="30" t="s">
        <v>289</v>
      </c>
    </row>
    <row r="19" spans="2:5">
      <c r="B19" s="4" t="s">
        <v>322</v>
      </c>
      <c r="C19" s="30" t="s">
        <v>323</v>
      </c>
      <c r="D19" s="12" t="s">
        <v>324</v>
      </c>
      <c r="E19" s="30" t="s">
        <v>289</v>
      </c>
    </row>
    <row r="20" spans="2:5">
      <c r="B20" s="4" t="s">
        <v>105</v>
      </c>
      <c r="C20" s="30" t="s">
        <v>325</v>
      </c>
      <c r="D20" s="12" t="s">
        <v>324</v>
      </c>
      <c r="E20" s="30" t="s">
        <v>289</v>
      </c>
    </row>
    <row r="22" spans="2:5">
      <c r="B22" s="3" t="s">
        <v>326</v>
      </c>
      <c r="C22" s="3"/>
      <c r="D22" s="3"/>
      <c r="E22" s="3"/>
    </row>
    <row r="23" spans="2:5">
      <c r="B23" s="13" t="s">
        <v>122</v>
      </c>
      <c r="C23" s="13" t="s">
        <v>327</v>
      </c>
      <c r="D23" s="13" t="s">
        <v>328</v>
      </c>
      <c r="E23" s="13" t="s">
        <v>301</v>
      </c>
    </row>
    <row r="24" spans="2:5">
      <c r="B24" s="4" t="s">
        <v>30</v>
      </c>
      <c r="C24" s="31" t="s">
        <v>329</v>
      </c>
      <c r="D24" s="12" t="s">
        <v>330</v>
      </c>
      <c r="E24" s="31" t="s">
        <v>291</v>
      </c>
    </row>
    <row r="25" spans="2:5">
      <c r="B25" s="4" t="s">
        <v>127</v>
      </c>
      <c r="C25" s="31" t="s">
        <v>331</v>
      </c>
      <c r="D25" s="12" t="s">
        <v>332</v>
      </c>
      <c r="E25" s="31" t="s">
        <v>291</v>
      </c>
    </row>
    <row r="26" spans="2:5">
      <c r="B26" s="4" t="s">
        <v>126</v>
      </c>
      <c r="C26" s="31" t="s">
        <v>333</v>
      </c>
      <c r="D26" s="12" t="s">
        <v>334</v>
      </c>
      <c r="E26" s="31" t="s">
        <v>291</v>
      </c>
    </row>
    <row r="27" spans="2:5">
      <c r="B27" s="4" t="s">
        <v>335</v>
      </c>
      <c r="C27" s="31" t="s">
        <v>336</v>
      </c>
      <c r="D27" s="12" t="s">
        <v>337</v>
      </c>
      <c r="E27" s="31" t="s">
        <v>291</v>
      </c>
    </row>
    <row r="28" spans="2:5">
      <c r="B28" s="4" t="s">
        <v>338</v>
      </c>
      <c r="C28" s="31" t="s">
        <v>339</v>
      </c>
      <c r="D28" s="12" t="s">
        <v>340</v>
      </c>
      <c r="E28" s="31" t="s">
        <v>291</v>
      </c>
    </row>
    <row r="29" spans="2:5">
      <c r="B29" s="4" t="s">
        <v>60</v>
      </c>
      <c r="C29" s="31" t="s">
        <v>341</v>
      </c>
      <c r="D29" s="12" t="s">
        <v>342</v>
      </c>
      <c r="E29" s="31" t="s">
        <v>291</v>
      </c>
    </row>
    <row r="30" spans="2:5">
      <c r="B30" s="4" t="s">
        <v>343</v>
      </c>
      <c r="C30" s="31" t="s">
        <v>344</v>
      </c>
      <c r="D30" s="12" t="s">
        <v>345</v>
      </c>
      <c r="E30" s="31" t="s">
        <v>291</v>
      </c>
    </row>
    <row r="31" spans="2:5">
      <c r="B31" s="4" t="s">
        <v>346</v>
      </c>
      <c r="C31" s="31" t="s">
        <v>347</v>
      </c>
      <c r="D31" s="12" t="s">
        <v>348</v>
      </c>
      <c r="E31" s="31" t="s">
        <v>291</v>
      </c>
    </row>
    <row r="32" spans="2:5">
      <c r="B32" s="4" t="s">
        <v>128</v>
      </c>
      <c r="C32" s="31" t="s">
        <v>349</v>
      </c>
      <c r="D32" s="12" t="s">
        <v>350</v>
      </c>
      <c r="E32" s="31" t="s">
        <v>291</v>
      </c>
    </row>
    <row r="33" spans="2:5">
      <c r="B33" s="4" t="s">
        <v>351</v>
      </c>
      <c r="C33" s="31" t="s">
        <v>352</v>
      </c>
      <c r="D33" s="12" t="s">
        <v>353</v>
      </c>
      <c r="E33" s="31" t="s">
        <v>291</v>
      </c>
    </row>
    <row r="34" spans="2:5">
      <c r="B34" s="4" t="s">
        <v>354</v>
      </c>
      <c r="C34" s="31" t="s">
        <v>355</v>
      </c>
      <c r="D34" s="12" t="s">
        <v>356</v>
      </c>
      <c r="E34" s="31" t="s">
        <v>291</v>
      </c>
    </row>
    <row r="35" spans="2:5">
      <c r="B35" s="4" t="s">
        <v>357</v>
      </c>
      <c r="C35" s="31" t="s">
        <v>358</v>
      </c>
      <c r="D35" s="12" t="s">
        <v>359</v>
      </c>
      <c r="E35" s="31" t="s">
        <v>291</v>
      </c>
    </row>
    <row r="36" spans="2:5">
      <c r="B36" s="4" t="s">
        <v>360</v>
      </c>
      <c r="C36" s="31" t="s">
        <v>361</v>
      </c>
      <c r="D36" s="12" t="s">
        <v>362</v>
      </c>
      <c r="E36" s="31" t="s">
        <v>291</v>
      </c>
    </row>
    <row r="37" spans="2:5">
      <c r="B37" s="4" t="s">
        <v>363</v>
      </c>
      <c r="C37" s="31" t="s">
        <v>364</v>
      </c>
      <c r="D37" s="12" t="s">
        <v>365</v>
      </c>
      <c r="E37" s="31" t="s">
        <v>291</v>
      </c>
    </row>
    <row r="38" spans="2:5">
      <c r="B38" s="4" t="s">
        <v>42</v>
      </c>
      <c r="C38" s="31" t="s">
        <v>366</v>
      </c>
      <c r="D38" s="12" t="s">
        <v>367</v>
      </c>
      <c r="E38" s="31" t="s">
        <v>291</v>
      </c>
    </row>
    <row r="39" spans="2:5">
      <c r="B39" s="4" t="s">
        <v>46</v>
      </c>
      <c r="C39" s="31" t="s">
        <v>366</v>
      </c>
      <c r="D39" s="12" t="s">
        <v>368</v>
      </c>
      <c r="E39" s="31" t="s">
        <v>291</v>
      </c>
    </row>
    <row r="41" spans="2:5">
      <c r="B41" s="3" t="s">
        <v>369</v>
      </c>
      <c r="C41" s="3"/>
      <c r="D41" s="3"/>
      <c r="E41" s="3"/>
    </row>
    <row r="42" spans="2:5">
      <c r="B42" s="13" t="s">
        <v>370</v>
      </c>
      <c r="C42" s="13" t="s">
        <v>371</v>
      </c>
      <c r="D42" s="13" t="s">
        <v>372</v>
      </c>
      <c r="E42" s="13" t="s">
        <v>301</v>
      </c>
    </row>
    <row r="43" spans="2:5" ht="40" customHeight="1">
      <c r="B43" s="4" t="s">
        <v>373</v>
      </c>
      <c r="C43" s="32" t="s">
        <v>374</v>
      </c>
      <c r="D43" s="12" t="s">
        <v>375</v>
      </c>
      <c r="E43" s="32" t="s">
        <v>293</v>
      </c>
    </row>
    <row r="44" spans="2:5" ht="40" customHeight="1">
      <c r="B44" s="4" t="s">
        <v>376</v>
      </c>
      <c r="C44" s="32" t="s">
        <v>377</v>
      </c>
      <c r="D44" s="12" t="s">
        <v>378</v>
      </c>
      <c r="E44" s="32" t="s">
        <v>293</v>
      </c>
    </row>
    <row r="45" spans="2:5" ht="40" customHeight="1">
      <c r="B45" s="4" t="s">
        <v>379</v>
      </c>
      <c r="C45" s="32" t="s">
        <v>380</v>
      </c>
      <c r="D45" s="12" t="s">
        <v>381</v>
      </c>
      <c r="E45" s="32" t="s">
        <v>293</v>
      </c>
    </row>
    <row r="46" spans="2:5" ht="40" customHeight="1">
      <c r="B46" s="4" t="s">
        <v>382</v>
      </c>
      <c r="C46" s="32" t="s">
        <v>383</v>
      </c>
      <c r="D46" s="12" t="s">
        <v>384</v>
      </c>
      <c r="E46" s="32" t="s">
        <v>293</v>
      </c>
    </row>
    <row r="47" spans="2:5" ht="40" customHeight="1">
      <c r="B47" s="4" t="s">
        <v>385</v>
      </c>
      <c r="C47" s="32" t="s">
        <v>386</v>
      </c>
      <c r="D47" s="12" t="s">
        <v>387</v>
      </c>
      <c r="E47" s="32" t="s">
        <v>293</v>
      </c>
    </row>
    <row r="48" spans="2:5" ht="40" customHeight="1">
      <c r="B48" s="4" t="s">
        <v>388</v>
      </c>
      <c r="C48" s="32" t="s">
        <v>389</v>
      </c>
      <c r="D48" s="12" t="s">
        <v>390</v>
      </c>
      <c r="E48" s="32" t="s">
        <v>293</v>
      </c>
    </row>
    <row r="49" spans="2:5" ht="40" customHeight="1">
      <c r="B49" s="4" t="s">
        <v>391</v>
      </c>
      <c r="C49" s="32" t="s">
        <v>392</v>
      </c>
      <c r="D49" s="12" t="s">
        <v>393</v>
      </c>
      <c r="E49" s="32" t="s">
        <v>293</v>
      </c>
    </row>
    <row r="51" spans="2:5">
      <c r="B51" s="3" t="s">
        <v>394</v>
      </c>
      <c r="C51" s="3"/>
      <c r="D51" s="3"/>
      <c r="E51" s="3"/>
    </row>
    <row r="52" spans="2:5">
      <c r="B52" s="13" t="s">
        <v>395</v>
      </c>
      <c r="C52" s="13" t="s">
        <v>396</v>
      </c>
      <c r="D52" s="13" t="s">
        <v>397</v>
      </c>
      <c r="E52" s="13" t="s">
        <v>301</v>
      </c>
    </row>
    <row r="53" spans="2:5">
      <c r="B53" s="4" t="s">
        <v>398</v>
      </c>
      <c r="C53" s="33" t="s">
        <v>399</v>
      </c>
      <c r="D53" s="12" t="s">
        <v>400</v>
      </c>
      <c r="E53" s="33" t="s">
        <v>295</v>
      </c>
    </row>
    <row r="54" spans="2:5">
      <c r="B54" s="4" t="s">
        <v>401</v>
      </c>
      <c r="C54" s="33" t="s">
        <v>402</v>
      </c>
      <c r="D54" s="12" t="s">
        <v>403</v>
      </c>
      <c r="E54" s="33" t="s">
        <v>295</v>
      </c>
    </row>
    <row r="55" spans="2:5">
      <c r="B55" s="4" t="s">
        <v>404</v>
      </c>
      <c r="C55" s="33" t="s">
        <v>405</v>
      </c>
      <c r="D55" s="12" t="s">
        <v>406</v>
      </c>
      <c r="E55" s="33" t="s">
        <v>295</v>
      </c>
    </row>
    <row r="56" spans="2:5">
      <c r="B56" s="4" t="s">
        <v>407</v>
      </c>
      <c r="C56" s="33" t="s">
        <v>408</v>
      </c>
      <c r="D56" s="12" t="s">
        <v>409</v>
      </c>
      <c r="E56" s="33" t="s">
        <v>295</v>
      </c>
    </row>
    <row r="57" spans="2:5">
      <c r="B57" s="4" t="s">
        <v>410</v>
      </c>
      <c r="C57" s="33" t="s">
        <v>411</v>
      </c>
      <c r="D57" s="12" t="s">
        <v>412</v>
      </c>
      <c r="E57" s="33" t="s">
        <v>295</v>
      </c>
    </row>
    <row r="58" spans="2:5">
      <c r="B58" s="4" t="s">
        <v>413</v>
      </c>
      <c r="C58" s="33" t="s">
        <v>414</v>
      </c>
      <c r="D58" s="12" t="s">
        <v>415</v>
      </c>
      <c r="E58" s="33" t="s">
        <v>295</v>
      </c>
    </row>
    <row r="59" spans="2:5">
      <c r="B59" s="4" t="s">
        <v>416</v>
      </c>
      <c r="C59" s="33" t="s">
        <v>417</v>
      </c>
      <c r="D59" s="12" t="s">
        <v>418</v>
      </c>
      <c r="E59" s="33" t="s">
        <v>295</v>
      </c>
    </row>
    <row r="62" spans="2:5">
      <c r="B62" s="6" t="s">
        <v>419</v>
      </c>
      <c r="C62" s="6"/>
      <c r="D62" s="6"/>
      <c r="E62" s="6"/>
    </row>
  </sheetData>
  <mergeCells count="7">
    <mergeCell ref="B2:E2"/>
    <mergeCell ref="B3:E3"/>
    <mergeCell ref="B10:E10"/>
    <mergeCell ref="B22:E22"/>
    <mergeCell ref="B41:E41"/>
    <mergeCell ref="B51:E51"/>
    <mergeCell ref="B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Originator Forecast</vt:lpstr>
      <vt:lpstr>Generika 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2026-02-16T22:04:50Z</dcterms:created>
  <dcterms:modified xsi:type="dcterms:W3CDTF">2026-02-16T22:04:50Z</dcterms:modified>
</cp:coreProperties>
</file>