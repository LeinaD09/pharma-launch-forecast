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Portfolio" sheetId="3" r:id="rId3"/>
    <sheet name="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<sst xmlns="http://schemas.openxmlformats.org/spreadsheetml/2006/main" count="477" uniqueCount="396">
  <si>
    <t>Eye Care Franchise - Ophthalmology Portfolio Forecast</t>
  </si>
  <si>
    <t>Sequenzieller Markteintritt DE | 3 Produkte | 7-Jahres-Horizont</t>
  </si>
  <si>
    <t>P1: RYZUMVI (Mydriase-Reversal)</t>
  </si>
  <si>
    <t>Indikation</t>
  </si>
  <si>
    <t>Mydriase-Reversal (Pupillenerweiterung)</t>
  </si>
  <si>
    <t>Phentolamin Augentropfen, first-in-class DE</t>
  </si>
  <si>
    <t>Launch-Monat</t>
  </si>
  <si>
    <t>Ab Modellstart (2026)</t>
  </si>
  <si>
    <t>Eligible Prozeduren/Jahr</t>
  </si>
  <si>
    <t>Dilatierte Augenuntersuchungen, davon Reversal gewuenscht</t>
  </si>
  <si>
    <t>Adressierbarer Anteil</t>
  </si>
  <si>
    <t>% der Prozeduren die Reversal aktiv nutzen</t>
  </si>
  <si>
    <t>Peak Marktanteil</t>
  </si>
  <si>
    <t>First-in-class, kein Wettbewerb</t>
  </si>
  <si>
    <t>Preis/Behandlung (EUR)</t>
  </si>
  <si>
    <t>Einmalapplikation pro Untersuchung</t>
  </si>
  <si>
    <t>AMNOG-Abschlag</t>
  </si>
  <si>
    <t>Einzigartig = milder Abschlag erwartet</t>
  </si>
  <si>
    <t>Adoptions-Speed (Mon.)</t>
  </si>
  <si>
    <t>Monate bis ~80% Peak Share</t>
  </si>
  <si>
    <t>Peak verordnende Aerzte</t>
  </si>
  <si>
    <t>Augenaerzte die regelmaessig dilatieren</t>
  </si>
  <si>
    <t>COGS (%)</t>
  </si>
  <si>
    <t>Herstellkosten</t>
  </si>
  <si>
    <t>Royalty (%)</t>
  </si>
  <si>
    <t>Ocuphire-Lizenz</t>
  </si>
  <si>
    <t>P2: MR-141 (Presbyopie)</t>
  </si>
  <si>
    <t>Presbyopie (Altersweitsichtigkeit)</t>
  </si>
  <si>
    <t>Phentolamin Augentropfen, taegl. Anwendung</t>
  </si>
  <si>
    <t>Ca. 1.5 Jahre nach P1</t>
  </si>
  <si>
    <t>Eligible Patienten</t>
  </si>
  <si>
    <t>Presbyopie-Praevalenz 40+ in DE</t>
  </si>
  <si>
    <t>Konservativ: Rx-Therapie statt Brille</t>
  </si>
  <si>
    <t>Begrenzt: Vuity (AbbVie) als Wettbewerber</t>
  </si>
  <si>
    <t>Preis/Monat (EUR)</t>
  </si>
  <si>
    <t>Taegl. Applikation, chronisch</t>
  </si>
  <si>
    <t>Lifestyle-nah = haertere Verhandlung</t>
  </si>
  <si>
    <t>Compliance (%)</t>
  </si>
  <si>
    <t>Lifestyle = niedrigere Compliance</t>
  </si>
  <si>
    <t>Wettbewerber-Druck p.a.</t>
  </si>
  <si>
    <t>Jaehrl. Share-Erosion</t>
  </si>
  <si>
    <t>P3: Tyrvaya (Trockenes Auge / DED)</t>
  </si>
  <si>
    <t>Keratoconjunctivitis sicca (Trockenes Auge)</t>
  </si>
  <si>
    <t>Vareniclin Nasenspray, neuer MOA</t>
  </si>
  <si>
    <t>EMA-Zulassung + AMNOG erforderlich (~3.5 Jahre)</t>
  </si>
  <si>
    <t>Diagn. DED-Patienten DE</t>
  </si>
  <si>
    <t>1.5-1.9 Mio. diagnostiziert</t>
  </si>
  <si>
    <t>Moderat-bis-schwer, Rx-geeignet</t>
  </si>
  <si>
    <t>Wettbewerb: iKervis, Vevizye, Generika</t>
  </si>
  <si>
    <t>Benchmark: iKervis EUR 120-135/Mon.</t>
  </si>
  <si>
    <t>Neuartiger MOA = moderater Abschlag</t>
  </si>
  <si>
    <t>DED: breites Verschreiberpotenzial</t>
  </si>
  <si>
    <t>Nasenspray BID, chronisch</t>
  </si>
  <si>
    <t>Wettbewerber</t>
  </si>
  <si>
    <t>iKervis, Vevizye, CsA-Generika</t>
  </si>
  <si>
    <t>AUSSENDIENST &amp; GO-TO-MARKET</t>
  </si>
  <si>
    <t>Reps bei Launch</t>
  </si>
  <si>
    <t>Initiale Sales Reps</t>
  </si>
  <si>
    <t>Peak Sales Reps</t>
  </si>
  <si>
    <t>Maximaler AD-Umfang</t>
  </si>
  <si>
    <t>Reps Ramp-Up (Mon.)</t>
  </si>
  <si>
    <t>Monate bis Peak</t>
  </si>
  <si>
    <t>Rep Jahreskosten (EUR)</t>
  </si>
  <si>
    <t>Voll belastet (Gehalt + Auto + Overhead)</t>
  </si>
  <si>
    <t>Peak MSLs</t>
  </si>
  <si>
    <t>Medical Science Liaisons</t>
  </si>
  <si>
    <t>MSL Jahreskosten (EUR)</t>
  </si>
  <si>
    <t>Voll belastet</t>
  </si>
  <si>
    <t>Launch-Marketing/Mon. (EUR)</t>
  </si>
  <si>
    <t>Waehrend Launch-Phase</t>
  </si>
  <si>
    <t>Maintenance-Marketing (EUR)</t>
  </si>
  <si>
    <t>Nach Launch-Phase</t>
  </si>
  <si>
    <t>Launch-Phase (Mon.)</t>
  </si>
  <si>
    <t>Dauer der intensiven Phase</t>
  </si>
  <si>
    <t>Kongresse/Jahr (EUR)</t>
  </si>
  <si>
    <t>DOG, AAD etc.</t>
  </si>
  <si>
    <t>KOL-Programm/Jahr (EUR)</t>
  </si>
  <si>
    <t>Advisory Boards, Speaker</t>
  </si>
  <si>
    <t>Digital Marketing/Mon. (EUR)</t>
  </si>
  <si>
    <t>Digitale Kanaele</t>
  </si>
  <si>
    <t>Synergie P2 (Kostenanteil)</t>
  </si>
  <si>
    <t>P2 Launch = 70% Standalone-Kosten</t>
  </si>
  <si>
    <t>Synergie P3 (Kostenanteil)</t>
  </si>
  <si>
    <t>P3 Launch = 80% Standalone-Kosten</t>
  </si>
  <si>
    <t>SZENARIO-DEFINITIONEN</t>
  </si>
  <si>
    <t>Parameter</t>
  </si>
  <si>
    <t>Konservativ</t>
  </si>
  <si>
    <t>Base Case</t>
  </si>
  <si>
    <t>Aggressiv</t>
  </si>
  <si>
    <t>Tyrvaya Launch (Monat)</t>
  </si>
  <si>
    <t>Tyrvaya Peak Share</t>
  </si>
  <si>
    <t>MR-141 Launch (Monat)</t>
  </si>
  <si>
    <t>RYZUMVI Speed (Mon.)</t>
  </si>
  <si>
    <t>MR-141 Speed (Mon.)</t>
  </si>
  <si>
    <t>Tyrvaya Speed (Mon.)</t>
  </si>
  <si>
    <t>Ophthalmologie-Markt Deutschland &amp; Wettbewerb</t>
  </si>
  <si>
    <t>Ophthalmologen &amp; Versorgungsstruktur</t>
  </si>
  <si>
    <t>Augenaerzte gesamt (DE)</t>
  </si>
  <si>
    <t>8.250+ (BAeK/KBV 2024)</t>
  </si>
  <si>
    <t>Davon GKV-Vertragsaerzte</t>
  </si>
  <si>
    <t>~6.600 (vertragsaerztl. Versorgung)</t>
  </si>
  <si>
    <t>MVZ-Augenaerzte (2024)</t>
  </si>
  <si>
    <t>~2.250 (Anteil wachsend, +8% p.a.)</t>
  </si>
  <si>
    <t>Patientenkontakte/Arzt/Quartal</t>
  </si>
  <si>
    <t>~1.000-1.400 (BVA-Daten)</t>
  </si>
  <si>
    <t>Verguetung</t>
  </si>
  <si>
    <t>EBM + IGeL (Mydriase: meist IGeL)</t>
  </si>
  <si>
    <t>Trockenes Auge (DED) – Marktlandschaft</t>
  </si>
  <si>
    <t>Betroffene (DE)</t>
  </si>
  <si>
    <t>~10 Mio. (Praevalenz 15-20%)</t>
  </si>
  <si>
    <t>Diagnostiziert</t>
  </si>
  <si>
    <t>1.5-1.9 Mio.</t>
  </si>
  <si>
    <t>Rx-Therapiequote</t>
  </si>
  <si>
    <t>Nur 36% der Diagnostizierten</t>
  </si>
  <si>
    <t>Marktvolumen DE (Rx+OTC)</t>
  </si>
  <si>
    <t>~EUR 430 Mio. (CAGR 5.7%)</t>
  </si>
  <si>
    <t>Rx-Anteil</t>
  </si>
  <si>
    <t>~35% (Rest: OTC kuenstl. Traenen)</t>
  </si>
  <si>
    <t>OTC kuenstl. Traenen</t>
  </si>
  <si>
    <t>~EUR 280 Mio. (+4% p.a.)</t>
  </si>
  <si>
    <t>Ophth. Rx-Gesamtmarkt DE</t>
  </si>
  <si>
    <t>~EUR 1.2 Mrd.</t>
  </si>
  <si>
    <t>DED-Wettbewerber (Rx)</t>
  </si>
  <si>
    <t>Produkt</t>
  </si>
  <si>
    <t>Firma</t>
  </si>
  <si>
    <t>Preis/Mon.</t>
  </si>
  <si>
    <t>Status DE</t>
  </si>
  <si>
    <t>iKervis (CsA)</t>
  </si>
  <si>
    <t>Santen</t>
  </si>
  <si>
    <t>Schwere Keratitis (DED)</t>
  </si>
  <si>
    <t>EUR 120-135</t>
  </si>
  <si>
    <t>Seit 2015, Referenzprodukt</t>
  </si>
  <si>
    <t>Vevizye (CsA)</t>
  </si>
  <si>
    <t>Novaliq / Thea</t>
  </si>
  <si>
    <t>Moderate-schwere DED</t>
  </si>
  <si>
    <t>EUR ~120 (erw.)</t>
  </si>
  <si>
    <t>EU-Zul. Okt 2024, DE-Launch 2025</t>
  </si>
  <si>
    <t>Restasis (CsA)</t>
  </si>
  <si>
    <t>AbbVie</t>
  </si>
  <si>
    <t>DED (nur USA)</t>
  </si>
  <si>
    <t>n/a DE</t>
  </si>
  <si>
    <t>Kein EU-Launch</t>
  </si>
  <si>
    <t>Tyrvaya (Varenicl.)</t>
  </si>
  <si>
    <t>Specialty Pharma</t>
  </si>
  <si>
    <t>DED, neuer MOA</t>
  </si>
  <si>
    <t>EUR 140 (gepl.)</t>
  </si>
  <si>
    <t>Kein EMA-Filing bisher</t>
  </si>
  <si>
    <t>OTC Traenen</t>
  </si>
  <si>
    <t>Diverse</t>
  </si>
  <si>
    <t>Milde DED, Befeuchtung</t>
  </si>
  <si>
    <t>EUR 5-15</t>
  </si>
  <si>
    <t>Freier Markt, hohes Volumen</t>
  </si>
  <si>
    <t>Ophthalmologie-Pipeline (Eye Care Franchise)</t>
  </si>
  <si>
    <t>Strategie</t>
  </si>
  <si>
    <t>Aufbau Specialty-Ophthalmologie durch Akquisitionen + Pipeline</t>
  </si>
  <si>
    <t>Oyster Point Akquisition</t>
  </si>
  <si>
    <t>Abgeschlossen 2023, Basis fuer Tyrvaya</t>
  </si>
  <si>
    <t>Famy Life Sciences</t>
  </si>
  <si>
    <t>Erworben 2023, RYZUMVI + MR-141 Pipeline</t>
  </si>
  <si>
    <t>RYZUMVI (Phentolamin)</t>
  </si>
  <si>
    <t>FDA-zugelassen (Aug 2023), EU-Einreichung erwartet</t>
  </si>
  <si>
    <t>MR-141 (Phentolamin)</t>
  </si>
  <si>
    <t>Phase III Presbyopie, Ergebnisse 2025/26 erw.</t>
  </si>
  <si>
    <t>Tyrvaya (Vareniclin)</t>
  </si>
  <si>
    <t>FDA-zugelassen (Okt 2021), kein EMA-Filing</t>
  </si>
  <si>
    <t>Fokus DE</t>
  </si>
  <si>
    <t>Facharzt-Vertrieb, AMNOG-Erstattung, MVZ-Zugang</t>
  </si>
  <si>
    <t>AMNOG-Referenzfaelle (Augenheilkunde)</t>
  </si>
  <si>
    <t>iKervis (CsA, 2016)</t>
  </si>
  <si>
    <t>Gering: Zusatznutzen vs. Traenenersatz; EUR 120-135/Mon. EB</t>
  </si>
  <si>
    <t>Eylea (Aflibercept, 2013)</t>
  </si>
  <si>
    <t>Betraechtlich: AMD; EUR ~1.100/Injektion EB</t>
  </si>
  <si>
    <t>Lucentis (Ranibizumab, 2013)</t>
  </si>
  <si>
    <t>Gering: DME; EUR ~800/Injektion EB</t>
  </si>
  <si>
    <t>Typisches Ergebnis</t>
  </si>
  <si>
    <t>Augenheilkunde: oft 'geringer Zusatznutzen'</t>
  </si>
  <si>
    <t>Konsequenz fuer Preis</t>
  </si>
  <si>
    <t>AMNOG-Cut 10-25%, danach jaehrl. Erosion 1-3%</t>
  </si>
  <si>
    <t>Produkt-Level Forecast – Alle 3 Produkte</t>
  </si>
  <si>
    <t>Monat</t>
  </si>
  <si>
    <t>RYZUMVI
Pat.</t>
  </si>
  <si>
    <t>RYZUMVI
Preis</t>
  </si>
  <si>
    <t>RYZUMVI
Umsatz</t>
  </si>
  <si>
    <t>RYZUMVI
Verordner</t>
  </si>
  <si>
    <t>MR-141
Pat.</t>
  </si>
  <si>
    <t>MR-141
Preis</t>
  </si>
  <si>
    <t>MR-141
Umsatz</t>
  </si>
  <si>
    <t>MR-141
Verordner</t>
  </si>
  <si>
    <t>Tyrvaya
Pat.</t>
  </si>
  <si>
    <t>Tyrvaya
Preis</t>
  </si>
  <si>
    <t>Tyrvaya
Umsatz</t>
  </si>
  <si>
    <t>Tyrvaya
Verordner</t>
  </si>
  <si>
    <t>Portfolio
Umsatz</t>
  </si>
  <si>
    <t>Portfolio-Forecast mit P&amp;L und GTM-Invest (Base Case)</t>
  </si>
  <si>
    <t>Portfolio 7J Umsatz</t>
  </si>
  <si>
    <t>Portfolio 7J Gewinn</t>
  </si>
  <si>
    <t>Break-Even</t>
  </si>
  <si>
    <t>Monat 18</t>
  </si>
  <si>
    <t>ROI (7 Jahre)</t>
  </si>
  <si>
    <t>2.6x</t>
  </si>
  <si>
    <t>GTM-Invest 7J</t>
  </si>
  <si>
    <t>Produkte
Live</t>
  </si>
  <si>
    <t>Gesamt
Umsatz</t>
  </si>
  <si>
    <t>Gesamt
Patienten</t>
  </si>
  <si>
    <t>Reps</t>
  </si>
  <si>
    <t>MSLs</t>
  </si>
  <si>
    <t>GTM-Kosten
/Mon.</t>
  </si>
  <si>
    <t>Portfolio
Gewinn</t>
  </si>
  <si>
    <t>Kum.
Umsatz</t>
  </si>
  <si>
    <t>Kum.
Gewinn</t>
  </si>
  <si>
    <t>Kum.
GTM-Invest</t>
  </si>
  <si>
    <t>ROI</t>
  </si>
  <si>
    <t>MVZ-Anteil</t>
  </si>
  <si>
    <t>Executive Summary - Eye Care Franchise Portfolio</t>
  </si>
  <si>
    <t>Szenario-Vergleich (7-Jahres-Horizont)</t>
  </si>
  <si>
    <t>Portfolio-Umsatz 7J</t>
  </si>
  <si>
    <t>Portfolio-Gewinn 7J</t>
  </si>
  <si>
    <t>ROI (7J)</t>
  </si>
  <si>
    <t>1.9x</t>
  </si>
  <si>
    <t>3.0x</t>
  </si>
  <si>
    <t>Break-Even (Monat)</t>
  </si>
  <si>
    <t>M27</t>
  </si>
  <si>
    <t>M18</t>
  </si>
  <si>
    <t>M11</t>
  </si>
  <si>
    <t>Peak monatl. Umsatz</t>
  </si>
  <si>
    <t>Peak Umsatz-Monat</t>
  </si>
  <si>
    <t>Umsatz Jahr 1</t>
  </si>
  <si>
    <t>Umsatz Jahre 1-3</t>
  </si>
  <si>
    <t>Verordner (final)</t>
  </si>
  <si>
    <t>RYZUMVI Umsatzanteil</t>
  </si>
  <si>
    <t>MR-141 Umsatzanteil</t>
  </si>
  <si>
    <t>Tyrvaya Umsatzanteil</t>
  </si>
  <si>
    <t>RYZUMVI Umsatz 7J</t>
  </si>
  <si>
    <t>MR-141 Umsatz 7J</t>
  </si>
  <si>
    <t>Tyrvaya Umsatz 7J</t>
  </si>
  <si>
    <t>Investment-These</t>
  </si>
  <si>
    <t>RYZUMVI: First-in-class DE, Cash-Cow ab Launch (Mydriase-Reversal = unmittelbarer Umsatz)</t>
  </si>
  <si>
    <t>MR-141: Potenziell transformativ (15M Presbyopie-Pat.), aber GKV-Huerde (Lifestyle-nah)</t>
  </si>
  <si>
    <t>Tyrvaya: Groesster Markt (DED EUR 430M), aber spaeter Launch + starker Wettbewerb (iKervis, Vevizye)</t>
  </si>
  <si>
    <t>Synergien: Shared Field Force senkt P2-Launch-Kosten um 30% und P3 um 20% vs. Standalone</t>
  </si>
  <si>
    <t>Break-Even: M15 (Base Case) dank sofortigem RYZUMVI-Umsatz, vgl. M24+ bei Single-Product-Launch</t>
  </si>
  <si>
    <t>MVZ-Kanal: Wachsender Zugang zu konsolidierten Praxen (2.250 Aerzte, +8% p.a.)</t>
  </si>
  <si>
    <t>Methodik &amp; Transparenz-Matrix</t>
  </si>
  <si>
    <t>Jeder Datenpunkt ist klassifiziert: FAKT / ANNAHME / MODELL / LUECKE</t>
  </si>
  <si>
    <t>Legende:</t>
  </si>
  <si>
    <t>FAKT</t>
  </si>
  <si>
    <t>Aus oeffentlichen Quellen</t>
  </si>
  <si>
    <t>ANNAHME</t>
  </si>
  <si>
    <t>Steuerbar (gelbe Zellen)</t>
  </si>
  <si>
    <t>MODELL</t>
  </si>
  <si>
    <t>Mathematisches Modell</t>
  </si>
  <si>
    <t>LUECKE</t>
  </si>
  <si>
    <t>Fuer Produktiveinsatz noetig</t>
  </si>
  <si>
    <t>FAKTEN</t>
  </si>
  <si>
    <t>Datenpunkt</t>
  </si>
  <si>
    <t>Wert</t>
  </si>
  <si>
    <t>Quelle</t>
  </si>
  <si>
    <t>Kat.</t>
  </si>
  <si>
    <t>Augenaerzte DE</t>
  </si>
  <si>
    <t>KBV Aerztestatistik</t>
  </si>
  <si>
    <t>GKV-Vertragsaerzte Ophth.</t>
  </si>
  <si>
    <t>~6.600</t>
  </si>
  <si>
    <t>MVZ-Augenaerzte</t>
  </si>
  <si>
    <t>~2.250 (2024), +8% p.a.</t>
  </si>
  <si>
    <t>Gesundheitsmarkt.de / ZI</t>
  </si>
  <si>
    <t>DED-Praevalenz DE</t>
  </si>
  <si>
    <t>~10 Mio., 1.5-1.9 Mio. diagnostiziert</t>
  </si>
  <si>
    <t>Grand View Research</t>
  </si>
  <si>
    <t>DED Rx-Therapiequote</t>
  </si>
  <si>
    <t>36% der Diagnostizierten</t>
  </si>
  <si>
    <t>Epidemiologische Studien</t>
  </si>
  <si>
    <t>DED Markt DE (Rx+OTC)</t>
  </si>
  <si>
    <t>Grand View Research / IQVIA</t>
  </si>
  <si>
    <t>iKervis Preis/Mon.</t>
  </si>
  <si>
    <t>EUR 120-135 (schwere Keratitis)</t>
  </si>
  <si>
    <t>Lauer-Taxe / Santen</t>
  </si>
  <si>
    <t>Vevizye EU-Zulassung</t>
  </si>
  <si>
    <t>Oktober 2024 (Novaliq/Thea)</t>
  </si>
  <si>
    <t>EMA EPAR</t>
  </si>
  <si>
    <t>RYZUMVI FDA-Zulassung</t>
  </si>
  <si>
    <t>August 2023 (Phentolamin)</t>
  </si>
  <si>
    <t>FDA Public Assessment</t>
  </si>
  <si>
    <t>Tyrvaya FDA-Zulassung</t>
  </si>
  <si>
    <t>Oktober 2021 (Vareniclin)</t>
  </si>
  <si>
    <t>FDA / Oyster Point</t>
  </si>
  <si>
    <t>Tyrvaya: kein EMA-Filing</t>
  </si>
  <si>
    <t>Stand Feb. 2025: keine EU-Einreichung</t>
  </si>
  <si>
    <t>Pipeline-Daten / ClinTrials</t>
  </si>
  <si>
    <t>2023, ~$785M</t>
  </si>
  <si>
    <t>Oeffentliche Pressemitteilungen</t>
  </si>
  <si>
    <t>2023 erworben (RYZUMVI + MR-141)</t>
  </si>
  <si>
    <t>Presbyopie DE</t>
  </si>
  <si>
    <t>~15 Mio. Betroffene (40+)</t>
  </si>
  <si>
    <t>Epidemiologische Schaetzung</t>
  </si>
  <si>
    <t>ANNAHMEN</t>
  </si>
  <si>
    <t>Default</t>
  </si>
  <si>
    <t>Begruendung</t>
  </si>
  <si>
    <t>RYZUMVI eligible Proz.</t>
  </si>
  <si>
    <t>800K/Jahr</t>
  </si>
  <si>
    <t>Dilatierte Untersuchungen mit Reversal-Wunsch</t>
  </si>
  <si>
    <t>RYZUMVI Preis</t>
  </si>
  <si>
    <t>EUR 25/Behandlung</t>
  </si>
  <si>
    <t>Einmalapplikation, IGeL-Benchmark</t>
  </si>
  <si>
    <t>RYZUMVI Peak Share</t>
  </si>
  <si>
    <t>50%</t>
  </si>
  <si>
    <t>MR-141 addressable</t>
  </si>
  <si>
    <t>2% von 15M</t>
  </si>
  <si>
    <t>Konservativ: Rx statt Lesebrille</t>
  </si>
  <si>
    <t>MR-141 Preis</t>
  </si>
  <si>
    <t>EUR 45/Mon.</t>
  </si>
  <si>
    <t>Taegl. Rx, Lifestyle-Preispunkt</t>
  </si>
  <si>
    <t>Tyrvaya Preis</t>
  </si>
  <si>
    <t>EUR 140/Mon.</t>
  </si>
  <si>
    <t>Benchmark iKervis (EUR 120-135)</t>
  </si>
  <si>
    <t>Tyrvaya Launch Monat</t>
  </si>
  <si>
    <t>42 (3.5 Jahre)</t>
  </si>
  <si>
    <t>EMA-Filing + Zulassung + AMNOG</t>
  </si>
  <si>
    <t>AMNOG-Abschlag P1</t>
  </si>
  <si>
    <t>10%</t>
  </si>
  <si>
    <t>Einzigartig, milder Abschlag</t>
  </si>
  <si>
    <t>AMNOG-Abschlag P2</t>
  </si>
  <si>
    <t>25%</t>
  </si>
  <si>
    <t>Lifestyle-nah, haertere Verhandlung</t>
  </si>
  <si>
    <t>AMNOG-Abschlag P3</t>
  </si>
  <si>
    <t>15%</t>
  </si>
  <si>
    <t>Neuartiger MOA, moderate Verhandlung</t>
  </si>
  <si>
    <t>Synergy P2</t>
  </si>
  <si>
    <t>70% der Standalone-Kosten</t>
  </si>
  <si>
    <t>Shared Field Force</t>
  </si>
  <si>
    <t>Synergy P3</t>
  </si>
  <si>
    <t>80% der Standalone-Kosten</t>
  </si>
  <si>
    <t>Anderes Segment (DED), weniger Synergy</t>
  </si>
  <si>
    <t>45</t>
  </si>
  <si>
    <t>1 Rep : ~150 Augenaerzte</t>
  </si>
  <si>
    <t>12</t>
  </si>
  <si>
    <t>AMNOG-Support + KOL-Management</t>
  </si>
  <si>
    <t>MODELLE</t>
  </si>
  <si>
    <t>Modell</t>
  </si>
  <si>
    <t>Formel / Logik</t>
  </si>
  <si>
    <t>Referenz</t>
  </si>
  <si>
    <t>Facharzt-Adoption</t>
  </si>
  <si>
    <t>Logistische S-Kurve: peak / (1 + exp(-k*(t-m)))</t>
  </si>
  <si>
    <t>Pharma Launch Diffusionsmodelle</t>
  </si>
  <si>
    <t>AMNOG-Pricing</t>
  </si>
  <si>
    <t>3-Phasen: Frei (6M) -&gt; G-BA Cut -&gt; Jaehrl. Erosion</t>
  </si>
  <si>
    <t>IQWiG / GKV-SV AMNOG-Verfahren</t>
  </si>
  <si>
    <t>Field Force Ramp</t>
  </si>
  <si>
    <t>Lineare Skalierung: Launch -&gt; Peak ueber n Monate</t>
  </si>
  <si>
    <t>Pharma GTM Benchmarks</t>
  </si>
  <si>
    <t>Cross-Product Synergy</t>
  </si>
  <si>
    <t>P2: 70%, P3: 80% der Standalone-Kosten</t>
  </si>
  <si>
    <t>Portfolio-Skaleneffekte</t>
  </si>
  <si>
    <t>Competitive Erosion</t>
  </si>
  <si>
    <t>Jaehrl. Share-Reduktion: share * (1 + erosion_rate)^t</t>
  </si>
  <si>
    <t>Analogie: iKervis vs. Vevizye</t>
  </si>
  <si>
    <t>Patient Volume</t>
  </si>
  <si>
    <t>eligible * addressable * share * compliance</t>
  </si>
  <si>
    <t>Standard Pharma Forecast</t>
  </si>
  <si>
    <t>MVZ-Kanal</t>
  </si>
  <si>
    <t>Basis * (1 + growth_rate)^(t/12)</t>
  </si>
  <si>
    <t>ZI-Daten, 8% p.a. Konsolidierung</t>
  </si>
  <si>
    <t>Portfolio P&amp;L</t>
  </si>
  <si>
    <t>Sum(Net_Revenue per product) - GTM_Cost</t>
  </si>
  <si>
    <t>Per-product COGS + Royalties</t>
  </si>
  <si>
    <t>LUECKEN</t>
  </si>
  <si>
    <t>Gap</t>
  </si>
  <si>
    <t>Beschreibung</t>
  </si>
  <si>
    <t>Datenquelle</t>
  </si>
  <si>
    <t>EMA-Filing Tyrvaya</t>
  </si>
  <si>
    <t>Zeitpunkt und Strategie der EU-Einreichung unklar</t>
  </si>
  <si>
    <t>Regulatory Intelligence</t>
  </si>
  <si>
    <t>MR-141 Phase-III Daten</t>
  </si>
  <si>
    <t>Ergebnisse Presbyopie-Studie stehen noch aus</t>
  </si>
  <si>
    <t>ClinicalTrials.gov</t>
  </si>
  <si>
    <t>AMNOG-Dossier Details</t>
  </si>
  <si>
    <t>IQWiG-Bewertung und G-BA-Ergebnis sind produktspez.</t>
  </si>
  <si>
    <t>IQWiG / G-BA Verhandlung</t>
  </si>
  <si>
    <t>Vevizye DE-Launch Preis</t>
  </si>
  <si>
    <t>Erstattungsbetrag noch in Verhandlung (2025)</t>
  </si>
  <si>
    <t>Novaliq / GKV-SV</t>
  </si>
  <si>
    <t>Real-World-Compliance</t>
  </si>
  <si>
    <t>Ophth. Compliance-Daten fuer Augentropfen/Spray</t>
  </si>
  <si>
    <t>Observational Studies / IQVIA</t>
  </si>
  <si>
    <t>KBV-Verordnungsdaten</t>
  </si>
  <si>
    <t>Tatsaechl. ICD-basierte Verschreibungen pro Arzt</t>
  </si>
  <si>
    <t>KBV Verordnungsdaten (nicht-oeffentl.)</t>
  </si>
  <si>
    <t>iKervis Marktanteile DE</t>
  </si>
  <si>
    <t>Monatl. Pack./Umsatz nach Indikation</t>
  </si>
  <si>
    <t>IQVIA Prescription Analytics</t>
  </si>
  <si>
    <t>Field Force Benchmark</t>
  </si>
  <si>
    <t>Tatsaechl. Rep-Effizienz (Calls/Conversion) Ophth.</t>
  </si>
  <si>
    <t>IMS / Veeva CRM Data</t>
  </si>
  <si>
    <t>Reimbursement Landscape</t>
  </si>
  <si>
    <t>Festbetraege, Rabattvertraege fuer CsA-Produkte</t>
  </si>
  <si>
    <t>GKV-SV / Lauer-Taxe Detail</t>
  </si>
  <si>
    <t>Hinweis: Alle Daten synthetisch. Referenzen: FDA/EMA Public Assessments, KBV Aerztestatistik, Grand View Research (Dry Eye), Santen (iKervis), Novaliq (Vevizye), ClinicalTrials.gov, oeffentliche Investor Relations.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</si>
</sst>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0.00x"/>
  </numFmts>
  <fonts count="12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92400E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8" borderId="0" xfId="0" applyFill="1"/>
    <xf numFmtId="164" fontId="0" fillId="8" borderId="0" xfId="0" applyNumberFormat="1" applyFill="1"/>
    <xf numFmtId="167" fontId="0" fillId="8" borderId="0" xfId="0" applyNumberFormat="1" applyFill="1"/>
    <xf numFmtId="0" fontId="9" fillId="9" borderId="4" xfId="0" applyFont="1" applyFill="1" applyBorder="1"/>
    <xf numFmtId="167" fontId="10" fillId="9" borderId="4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168" fontId="0" fillId="0" borderId="0" xfId="0" applyNumberFormat="1"/>
    <xf numFmtId="165" fontId="0" fillId="0" borderId="0" xfId="0" applyNumberFormat="1"/>
    <xf numFmtId="168" fontId="0" fillId="8" borderId="0" xfId="0" applyNumberFormat="1" applyFill="1"/>
    <xf numFmtId="165" fontId="0" fillId="8" borderId="0" xfId="0" applyNumberFormat="1" applyFill="1"/>
    <xf numFmtId="0" fontId="11" fillId="10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11" borderId="4" xfId="0" applyFont="1" applyFill="1" applyBorder="1" applyAlignment="1">
      <alignment vertical="center" wrapText="1"/>
    </xf>
    <xf numFmtId="0" fontId="11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Portfolio-Umsatz nach Produkt (monatlich)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RYZUMVI</c:v>
          </c:tx>
          <c:spPr>
            <a:solidFill>
              <a:srgbClr val="0D9488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Portfolio!$E$5:$E$88</c:f>
              <c:numCache>
                <c:formatCode>General</c:formatCode>
                <c:ptCount val="84"/>
                <c:pt idx="0">
                  <c:v>157433</c:v>
                </c:pt>
                <c:pt idx="1">
                  <c:v>214729</c:v>
                </c:pt>
                <c:pt idx="2">
                  <c:v>290325</c:v>
                </c:pt>
                <c:pt idx="3">
                  <c:v>388080</c:v>
                </c:pt>
                <c:pt idx="4">
                  <c:v>511261</c:v>
                </c:pt>
                <c:pt idx="5">
                  <c:v>661532</c:v>
                </c:pt>
                <c:pt idx="6">
                  <c:v>754006</c:v>
                </c:pt>
                <c:pt idx="7">
                  <c:v>930951</c:v>
                </c:pt>
                <c:pt idx="8">
                  <c:v>1119077</c:v>
                </c:pt>
                <c:pt idx="9">
                  <c:v>1308543</c:v>
                </c:pt>
                <c:pt idx="10">
                  <c:v>1489260</c:v>
                </c:pt>
                <c:pt idx="11">
                  <c:v>1652945</c:v>
                </c:pt>
                <c:pt idx="12">
                  <c:v>1794451</c:v>
                </c:pt>
                <c:pt idx="13">
                  <c:v>1911985</c:v>
                </c:pt>
                <c:pt idx="14">
                  <c:v>2006462</c:v>
                </c:pt>
                <c:pt idx="15">
                  <c:v>2080483</c:v>
                </c:pt>
                <c:pt idx="16">
                  <c:v>2137385</c:v>
                </c:pt>
                <c:pt idx="17">
                  <c:v>2180551</c:v>
                </c:pt>
                <c:pt idx="18">
                  <c:v>2213034</c:v>
                </c:pt>
                <c:pt idx="19">
                  <c:v>2237394</c:v>
                </c:pt>
                <c:pt idx="20">
                  <c:v>2255676</c:v>
                </c:pt>
                <c:pt idx="21">
                  <c:v>2269466</c:v>
                </c:pt>
                <c:pt idx="22">
                  <c:v>2279963</c:v>
                </c:pt>
                <c:pt idx="23">
                  <c:v>2288062</c:v>
                </c:pt>
                <c:pt idx="24">
                  <c:v>2294422</c:v>
                </c:pt>
                <c:pt idx="25">
                  <c:v>2299525</c:v>
                </c:pt>
                <c:pt idx="26">
                  <c:v>2303721</c:v>
                </c:pt>
                <c:pt idx="27">
                  <c:v>2307266</c:v>
                </c:pt>
                <c:pt idx="28">
                  <c:v>2310343</c:v>
                </c:pt>
                <c:pt idx="29">
                  <c:v>2313083</c:v>
                </c:pt>
                <c:pt idx="30">
                  <c:v>2315581</c:v>
                </c:pt>
                <c:pt idx="31">
                  <c:v>2317908</c:v>
                </c:pt>
                <c:pt idx="32">
                  <c:v>2320110</c:v>
                </c:pt>
                <c:pt idx="33">
                  <c:v>2322225</c:v>
                </c:pt>
                <c:pt idx="34">
                  <c:v>2324277</c:v>
                </c:pt>
                <c:pt idx="35">
                  <c:v>2326284</c:v>
                </c:pt>
                <c:pt idx="36">
                  <c:v>2328259</c:v>
                </c:pt>
                <c:pt idx="37">
                  <c:v>2330212</c:v>
                </c:pt>
                <c:pt idx="38">
                  <c:v>2332150</c:v>
                </c:pt>
                <c:pt idx="39">
                  <c:v>2334077</c:v>
                </c:pt>
                <c:pt idx="40">
                  <c:v>2335997</c:v>
                </c:pt>
                <c:pt idx="41">
                  <c:v>2337913</c:v>
                </c:pt>
                <c:pt idx="42">
                  <c:v>2339825</c:v>
                </c:pt>
                <c:pt idx="43">
                  <c:v>2341735</c:v>
                </c:pt>
                <c:pt idx="44">
                  <c:v>2343645</c:v>
                </c:pt>
                <c:pt idx="45">
                  <c:v>2345555</c:v>
                </c:pt>
                <c:pt idx="46">
                  <c:v>2347465</c:v>
                </c:pt>
                <c:pt idx="47">
                  <c:v>2349375</c:v>
                </c:pt>
                <c:pt idx="48">
                  <c:v>2351287</c:v>
                </c:pt>
                <c:pt idx="49">
                  <c:v>2353200</c:v>
                </c:pt>
                <c:pt idx="50">
                  <c:v>2355114</c:v>
                </c:pt>
                <c:pt idx="51">
                  <c:v>2357029</c:v>
                </c:pt>
                <c:pt idx="52">
                  <c:v>2358946</c:v>
                </c:pt>
                <c:pt idx="53">
                  <c:v>2360864</c:v>
                </c:pt>
                <c:pt idx="54">
                  <c:v>2362784</c:v>
                </c:pt>
                <c:pt idx="55">
                  <c:v>2364705</c:v>
                </c:pt>
                <c:pt idx="56">
                  <c:v>2366628</c:v>
                </c:pt>
                <c:pt idx="57">
                  <c:v>2368552</c:v>
                </c:pt>
                <c:pt idx="58">
                  <c:v>2370477</c:v>
                </c:pt>
                <c:pt idx="59">
                  <c:v>2372405</c:v>
                </c:pt>
                <c:pt idx="60">
                  <c:v>2374334</c:v>
                </c:pt>
                <c:pt idx="61">
                  <c:v>2376264</c:v>
                </c:pt>
                <c:pt idx="62">
                  <c:v>2378196</c:v>
                </c:pt>
                <c:pt idx="63">
                  <c:v>2380130</c:v>
                </c:pt>
                <c:pt idx="64">
                  <c:v>2382065</c:v>
                </c:pt>
                <c:pt idx="65">
                  <c:v>2384001</c:v>
                </c:pt>
                <c:pt idx="66">
                  <c:v>2385940</c:v>
                </c:pt>
                <c:pt idx="67">
                  <c:v>2387879</c:v>
                </c:pt>
                <c:pt idx="68">
                  <c:v>2389821</c:v>
                </c:pt>
                <c:pt idx="69">
                  <c:v>2391764</c:v>
                </c:pt>
                <c:pt idx="70">
                  <c:v>2393708</c:v>
                </c:pt>
                <c:pt idx="71">
                  <c:v>2395654</c:v>
                </c:pt>
                <c:pt idx="72">
                  <c:v>2397602</c:v>
                </c:pt>
                <c:pt idx="73">
                  <c:v>2399551</c:v>
                </c:pt>
                <c:pt idx="74">
                  <c:v>2401502</c:v>
                </c:pt>
                <c:pt idx="75">
                  <c:v>2403455</c:v>
                </c:pt>
                <c:pt idx="76">
                  <c:v>2405409</c:v>
                </c:pt>
                <c:pt idx="77">
                  <c:v>2407365</c:v>
                </c:pt>
                <c:pt idx="78">
                  <c:v>2409322</c:v>
                </c:pt>
                <c:pt idx="79">
                  <c:v>2411281</c:v>
                </c:pt>
                <c:pt idx="80">
                  <c:v>2413241</c:v>
                </c:pt>
                <c:pt idx="81">
                  <c:v>2415203</c:v>
                </c:pt>
                <c:pt idx="82">
                  <c:v>2417167</c:v>
                </c:pt>
                <c:pt idx="83">
                  <c:v>2419132</c:v>
                </c:pt>
              </c:numCache>
            </c:numRef>
          </c:val>
        </c:ser>
        <c:ser>
          <c:idx val="1"/>
          <c:order val="1"/>
          <c:tx>
            <c:v>MR-141</c:v>
          </c:tx>
          <c:spPr>
            <a:solidFill>
              <a:srgbClr val="1E3A5F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Portfolio!$I$5:$I$88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212759</c:v>
                </c:pt>
                <c:pt idx="18">
                  <c:v>268377</c:v>
                </c:pt>
                <c:pt idx="19">
                  <c:v>336984</c:v>
                </c:pt>
                <c:pt idx="20">
                  <c:v>420752</c:v>
                </c:pt>
                <c:pt idx="21">
                  <c:v>521766</c:v>
                </c:pt>
                <c:pt idx="22">
                  <c:v>641762</c:v>
                </c:pt>
                <c:pt idx="23">
                  <c:v>586343</c:v>
                </c:pt>
                <c:pt idx="24">
                  <c:v>704589</c:v>
                </c:pt>
                <c:pt idx="25">
                  <c:v>836112</c:v>
                </c:pt>
                <c:pt idx="26">
                  <c:v>978548</c:v>
                </c:pt>
                <c:pt idx="27">
                  <c:v>1128387</c:v>
                </c:pt>
                <c:pt idx="28">
                  <c:v>1281236</c:v>
                </c:pt>
                <c:pt idx="29">
                  <c:v>1432299</c:v>
                </c:pt>
                <c:pt idx="30">
                  <c:v>1576943</c:v>
                </c:pt>
                <c:pt idx="31">
                  <c:v>1711239</c:v>
                </c:pt>
                <c:pt idx="32">
                  <c:v>1832334</c:v>
                </c:pt>
                <c:pt idx="33">
                  <c:v>1938598</c:v>
                </c:pt>
                <c:pt idx="34">
                  <c:v>2029550</c:v>
                </c:pt>
                <c:pt idx="35">
                  <c:v>2105649</c:v>
                </c:pt>
                <c:pt idx="36">
                  <c:v>2168005</c:v>
                </c:pt>
                <c:pt idx="37">
                  <c:v>2218112</c:v>
                </c:pt>
                <c:pt idx="38">
                  <c:v>2257614</c:v>
                </c:pt>
                <c:pt idx="39">
                  <c:v>2288146</c:v>
                </c:pt>
                <c:pt idx="40">
                  <c:v>2311228</c:v>
                </c:pt>
                <c:pt idx="41">
                  <c:v>2328211</c:v>
                </c:pt>
                <c:pt idx="42">
                  <c:v>2340259</c:v>
                </c:pt>
                <c:pt idx="43">
                  <c:v>2348348</c:v>
                </c:pt>
                <c:pt idx="44">
                  <c:v>2353283</c:v>
                </c:pt>
                <c:pt idx="45">
                  <c:v>2355721</c:v>
                </c:pt>
                <c:pt idx="46">
                  <c:v>2356189</c:v>
                </c:pt>
                <c:pt idx="47">
                  <c:v>2355109</c:v>
                </c:pt>
                <c:pt idx="48">
                  <c:v>2352816</c:v>
                </c:pt>
                <c:pt idx="49">
                  <c:v>2349574</c:v>
                </c:pt>
                <c:pt idx="50">
                  <c:v>2345590</c:v>
                </c:pt>
                <c:pt idx="51">
                  <c:v>2341029</c:v>
                </c:pt>
                <c:pt idx="52">
                  <c:v>2336017</c:v>
                </c:pt>
                <c:pt idx="53">
                  <c:v>2330655</c:v>
                </c:pt>
                <c:pt idx="54">
                  <c:v>2325020</c:v>
                </c:pt>
                <c:pt idx="55">
                  <c:v>2319174</c:v>
                </c:pt>
                <c:pt idx="56">
                  <c:v>2313163</c:v>
                </c:pt>
                <c:pt idx="57">
                  <c:v>2307025</c:v>
                </c:pt>
                <c:pt idx="58">
                  <c:v>2300787</c:v>
                </c:pt>
                <c:pt idx="59">
                  <c:v>2294473</c:v>
                </c:pt>
                <c:pt idx="60">
                  <c:v>2288100</c:v>
                </c:pt>
                <c:pt idx="61">
                  <c:v>2281680</c:v>
                </c:pt>
                <c:pt idx="62">
                  <c:v>2275225</c:v>
                </c:pt>
                <c:pt idx="63">
                  <c:v>2268743</c:v>
                </c:pt>
                <c:pt idx="64">
                  <c:v>2262240</c:v>
                </c:pt>
                <c:pt idx="65">
                  <c:v>2255720</c:v>
                </c:pt>
                <c:pt idx="66">
                  <c:v>2249189</c:v>
                </c:pt>
                <c:pt idx="67">
                  <c:v>2242648</c:v>
                </c:pt>
                <c:pt idx="68">
                  <c:v>2236100</c:v>
                </c:pt>
                <c:pt idx="69">
                  <c:v>2229547</c:v>
                </c:pt>
                <c:pt idx="70">
                  <c:v>2222990</c:v>
                </c:pt>
                <c:pt idx="71">
                  <c:v>2216430</c:v>
                </c:pt>
                <c:pt idx="72">
                  <c:v>2209868</c:v>
                </c:pt>
                <c:pt idx="73">
                  <c:v>2203305</c:v>
                </c:pt>
                <c:pt idx="74">
                  <c:v>2196742</c:v>
                </c:pt>
                <c:pt idx="75">
                  <c:v>2190177</c:v>
                </c:pt>
                <c:pt idx="76">
                  <c:v>2183613</c:v>
                </c:pt>
                <c:pt idx="77">
                  <c:v>2177049</c:v>
                </c:pt>
                <c:pt idx="78">
                  <c:v>2170485</c:v>
                </c:pt>
                <c:pt idx="79">
                  <c:v>2163922</c:v>
                </c:pt>
                <c:pt idx="80">
                  <c:v>2157359</c:v>
                </c:pt>
                <c:pt idx="81">
                  <c:v>2150797</c:v>
                </c:pt>
                <c:pt idx="82">
                  <c:v>2144236</c:v>
                </c:pt>
                <c:pt idx="83">
                  <c:v>2137676</c:v>
                </c:pt>
              </c:numCache>
            </c:numRef>
          </c:val>
        </c:ser>
        <c:ser>
          <c:idx val="2"/>
          <c:order val="2"/>
          <c:tx>
            <c:v>Tyrvaya</c:v>
          </c:tx>
          <c:spPr>
            <a:solidFill>
              <a:srgbClr val="D97706"/>
            </a:solidFill>
          </c:spP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Portfolio!$M$5:$M$88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101723</c:v>
                </c:pt>
                <c:pt idx="42">
                  <c:v>122795</c:v>
                </c:pt>
                <c:pt idx="43">
                  <c:v>147817</c:v>
                </c:pt>
                <c:pt idx="44">
                  <c:v>177346</c:v>
                </c:pt>
                <c:pt idx="45">
                  <c:v>211946</c:v>
                </c:pt>
                <c:pt idx="46">
                  <c:v>252150</c:v>
                </c:pt>
                <c:pt idx="47">
                  <c:v>253652</c:v>
                </c:pt>
                <c:pt idx="48">
                  <c:v>297902</c:v>
                </c:pt>
                <c:pt idx="49">
                  <c:v>347521</c:v>
                </c:pt>
                <c:pt idx="50">
                  <c:v>402376</c:v>
                </c:pt>
                <c:pt idx="51">
                  <c:v>462077</c:v>
                </c:pt>
                <c:pt idx="52">
                  <c:v>525951</c:v>
                </c:pt>
                <c:pt idx="53">
                  <c:v>593058</c:v>
                </c:pt>
                <c:pt idx="54">
                  <c:v>662226</c:v>
                </c:pt>
                <c:pt idx="55">
                  <c:v>732128</c:v>
                </c:pt>
                <c:pt idx="56">
                  <c:v>801382</c:v>
                </c:pt>
                <c:pt idx="57">
                  <c:v>868660</c:v>
                </c:pt>
                <c:pt idx="58">
                  <c:v>932782</c:v>
                </c:pt>
                <c:pt idx="59">
                  <c:v>992796</c:v>
                </c:pt>
                <c:pt idx="60">
                  <c:v>1048020</c:v>
                </c:pt>
                <c:pt idx="61">
                  <c:v>1098052</c:v>
                </c:pt>
                <c:pt idx="62">
                  <c:v>1142746</c:v>
                </c:pt>
                <c:pt idx="63">
                  <c:v>1182174</c:v>
                </c:pt>
                <c:pt idx="64">
                  <c:v>1216577</c:v>
                </c:pt>
                <c:pt idx="65">
                  <c:v>1246312</c:v>
                </c:pt>
                <c:pt idx="66">
                  <c:v>1271803</c:v>
                </c:pt>
                <c:pt idx="67">
                  <c:v>1293507</c:v>
                </c:pt>
                <c:pt idx="68">
                  <c:v>1311881</c:v>
                </c:pt>
                <c:pt idx="69">
                  <c:v>1327363</c:v>
                </c:pt>
                <c:pt idx="70">
                  <c:v>1340358</c:v>
                </c:pt>
                <c:pt idx="71">
                  <c:v>1351234</c:v>
                </c:pt>
                <c:pt idx="72">
                  <c:v>1360316</c:v>
                </c:pt>
                <c:pt idx="73">
                  <c:v>1367887</c:v>
                </c:pt>
                <c:pt idx="74">
                  <c:v>1374191</c:v>
                </c:pt>
                <c:pt idx="75">
                  <c:v>1379437</c:v>
                </c:pt>
                <c:pt idx="76">
                  <c:v>1383802</c:v>
                </c:pt>
                <c:pt idx="77">
                  <c:v>1387435</c:v>
                </c:pt>
                <c:pt idx="78">
                  <c:v>1390461</c:v>
                </c:pt>
                <c:pt idx="79">
                  <c:v>1392984</c:v>
                </c:pt>
                <c:pt idx="80">
                  <c:v>1395090</c:v>
                </c:pt>
                <c:pt idx="81">
                  <c:v>1396850</c:v>
                </c:pt>
                <c:pt idx="82">
                  <c:v>1398325</c:v>
                </c:pt>
                <c:pt idx="83">
                  <c:v>1399562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" sourceLinked="0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Facharzt-Adoption (verordnende Augenaerzte)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RYZUMVI Verordner</c:v>
          </c:tx>
          <c:spPr>
            <a:ln w="31750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Portfolio!$F$5:$F$88</c:f>
              <c:numCache>
                <c:formatCode>General</c:formatCode>
                <c:ptCount val="84"/>
                <c:pt idx="0">
                  <c:v>189</c:v>
                </c:pt>
                <c:pt idx="1">
                  <c:v>257</c:v>
                </c:pt>
                <c:pt idx="2">
                  <c:v>347</c:v>
                </c:pt>
                <c:pt idx="3">
                  <c:v>463</c:v>
                </c:pt>
                <c:pt idx="4">
                  <c:v>609</c:v>
                </c:pt>
                <c:pt idx="5">
                  <c:v>787</c:v>
                </c:pt>
                <c:pt idx="6">
                  <c:v>995</c:v>
                </c:pt>
                <c:pt idx="7">
                  <c:v>1228</c:v>
                </c:pt>
                <c:pt idx="8">
                  <c:v>1475</c:v>
                </c:pt>
                <c:pt idx="9">
                  <c:v>1723</c:v>
                </c:pt>
                <c:pt idx="10">
                  <c:v>1960</c:v>
                </c:pt>
                <c:pt idx="11">
                  <c:v>2173</c:v>
                </c:pt>
                <c:pt idx="12">
                  <c:v>2358</c:v>
                </c:pt>
                <c:pt idx="13">
                  <c:v>2510</c:v>
                </c:pt>
                <c:pt idx="14">
                  <c:v>2632</c:v>
                </c:pt>
                <c:pt idx="15">
                  <c:v>2727</c:v>
                </c:pt>
                <c:pt idx="16">
                  <c:v>2799</c:v>
                </c:pt>
                <c:pt idx="17">
                  <c:v>2853</c:v>
                </c:pt>
                <c:pt idx="18">
                  <c:v>2893</c:v>
                </c:pt>
                <c:pt idx="19">
                  <c:v>2923</c:v>
                </c:pt>
                <c:pt idx="20">
                  <c:v>2944</c:v>
                </c:pt>
                <c:pt idx="21">
                  <c:v>2960</c:v>
                </c:pt>
                <c:pt idx="22">
                  <c:v>2971</c:v>
                </c:pt>
                <c:pt idx="23">
                  <c:v>2979</c:v>
                </c:pt>
                <c:pt idx="24">
                  <c:v>2985</c:v>
                </c:pt>
                <c:pt idx="25">
                  <c:v>2989</c:v>
                </c:pt>
                <c:pt idx="26">
                  <c:v>2992</c:v>
                </c:pt>
                <c:pt idx="27">
                  <c:v>2995</c:v>
                </c:pt>
                <c:pt idx="28">
                  <c:v>2996</c:v>
                </c:pt>
                <c:pt idx="29">
                  <c:v>2997</c:v>
                </c:pt>
                <c:pt idx="30">
                  <c:v>2998</c:v>
                </c:pt>
                <c:pt idx="31">
                  <c:v>2999</c:v>
                </c:pt>
                <c:pt idx="32">
                  <c:v>2999</c:v>
                </c:pt>
                <c:pt idx="33">
                  <c:v>2999</c:v>
                </c:pt>
                <c:pt idx="34">
                  <c:v>2999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3000</c:v>
                </c:pt>
                <c:pt idx="71">
                  <c:v>3000</c:v>
                </c:pt>
                <c:pt idx="72">
                  <c:v>3000</c:v>
                </c:pt>
                <c:pt idx="73">
                  <c:v>3000</c:v>
                </c:pt>
                <c:pt idx="74">
                  <c:v>3000</c:v>
                </c:pt>
                <c:pt idx="75">
                  <c:v>3000</c:v>
                </c:pt>
                <c:pt idx="76">
                  <c:v>3000</c:v>
                </c:pt>
                <c:pt idx="77">
                  <c:v>3000</c:v>
                </c:pt>
                <c:pt idx="78">
                  <c:v>3000</c:v>
                </c:pt>
                <c:pt idx="79">
                  <c:v>3000</c:v>
                </c:pt>
                <c:pt idx="80">
                  <c:v>3000</c:v>
                </c:pt>
                <c:pt idx="81">
                  <c:v>3000</c:v>
                </c:pt>
                <c:pt idx="82">
                  <c:v>3000</c:v>
                </c:pt>
                <c:pt idx="83">
                  <c:v>3000</c:v>
                </c:pt>
              </c:numCache>
            </c:numRef>
          </c:val>
        </c:ser>
        <c:ser>
          <c:idx val="1"/>
          <c:order val="1"/>
          <c:tx>
            <c:v>MR-141 Verordner</c:v>
          </c:tx>
          <c:spPr>
            <a:ln w="31750">
              <a:solidFill>
                <a:srgbClr val="1E3A5F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Portfolio!$J$5:$J$88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157</c:v>
                </c:pt>
                <c:pt idx="18">
                  <c:v>198</c:v>
                </c:pt>
                <c:pt idx="19">
                  <c:v>248</c:v>
                </c:pt>
                <c:pt idx="20">
                  <c:v>309</c:v>
                </c:pt>
                <c:pt idx="21">
                  <c:v>382</c:v>
                </c:pt>
                <c:pt idx="22">
                  <c:v>469</c:v>
                </c:pt>
                <c:pt idx="23">
                  <c:v>570</c:v>
                </c:pt>
                <c:pt idx="24">
                  <c:v>685</c:v>
                </c:pt>
                <c:pt idx="25">
                  <c:v>813</c:v>
                </c:pt>
                <c:pt idx="26">
                  <c:v>952</c:v>
                </c:pt>
                <c:pt idx="27">
                  <c:v>1097</c:v>
                </c:pt>
                <c:pt idx="28">
                  <c:v>1246</c:v>
                </c:pt>
                <c:pt idx="29">
                  <c:v>1393</c:v>
                </c:pt>
                <c:pt idx="30">
                  <c:v>1534</c:v>
                </c:pt>
                <c:pt idx="31">
                  <c:v>1665</c:v>
                </c:pt>
                <c:pt idx="32">
                  <c:v>1782</c:v>
                </c:pt>
                <c:pt idx="33">
                  <c:v>1886</c:v>
                </c:pt>
                <c:pt idx="34">
                  <c:v>1975</c:v>
                </c:pt>
                <c:pt idx="35">
                  <c:v>2049</c:v>
                </c:pt>
                <c:pt idx="36">
                  <c:v>2110</c:v>
                </c:pt>
                <c:pt idx="37">
                  <c:v>2159</c:v>
                </c:pt>
                <c:pt idx="38">
                  <c:v>2197</c:v>
                </c:pt>
                <c:pt idx="39">
                  <c:v>2227</c:v>
                </c:pt>
                <c:pt idx="40">
                  <c:v>2250</c:v>
                </c:pt>
                <c:pt idx="41">
                  <c:v>2266</c:v>
                </c:pt>
                <c:pt idx="42">
                  <c:v>2278</c:v>
                </c:pt>
                <c:pt idx="43">
                  <c:v>2286</c:v>
                </c:pt>
                <c:pt idx="44">
                  <c:v>2291</c:v>
                </c:pt>
                <c:pt idx="45">
                  <c:v>2294</c:v>
                </c:pt>
                <c:pt idx="46">
                  <c:v>2295</c:v>
                </c:pt>
                <c:pt idx="47">
                  <c:v>2294</c:v>
                </c:pt>
                <c:pt idx="48">
                  <c:v>2292</c:v>
                </c:pt>
                <c:pt idx="49">
                  <c:v>2289</c:v>
                </c:pt>
                <c:pt idx="50">
                  <c:v>2285</c:v>
                </c:pt>
                <c:pt idx="51">
                  <c:v>2281</c:v>
                </c:pt>
                <c:pt idx="52">
                  <c:v>2276</c:v>
                </c:pt>
                <c:pt idx="53">
                  <c:v>2271</c:v>
                </c:pt>
                <c:pt idx="54">
                  <c:v>2266</c:v>
                </c:pt>
                <c:pt idx="55">
                  <c:v>2260</c:v>
                </c:pt>
                <c:pt idx="56">
                  <c:v>2254</c:v>
                </c:pt>
                <c:pt idx="57">
                  <c:v>2248</c:v>
                </c:pt>
                <c:pt idx="58">
                  <c:v>2243</c:v>
                </c:pt>
                <c:pt idx="59">
                  <c:v>2237</c:v>
                </c:pt>
                <c:pt idx="60">
                  <c:v>2231</c:v>
                </c:pt>
                <c:pt idx="61">
                  <c:v>2224</c:v>
                </c:pt>
                <c:pt idx="62">
                  <c:v>2218</c:v>
                </c:pt>
                <c:pt idx="63">
                  <c:v>2212</c:v>
                </c:pt>
                <c:pt idx="64">
                  <c:v>2206</c:v>
                </c:pt>
                <c:pt idx="65">
                  <c:v>2200</c:v>
                </c:pt>
                <c:pt idx="66">
                  <c:v>2194</c:v>
                </c:pt>
                <c:pt idx="67">
                  <c:v>2187</c:v>
                </c:pt>
                <c:pt idx="68">
                  <c:v>2181</c:v>
                </c:pt>
                <c:pt idx="69">
                  <c:v>2175</c:v>
                </c:pt>
                <c:pt idx="70">
                  <c:v>2169</c:v>
                </c:pt>
                <c:pt idx="71">
                  <c:v>2162</c:v>
                </c:pt>
                <c:pt idx="72">
                  <c:v>2156</c:v>
                </c:pt>
                <c:pt idx="73">
                  <c:v>2150</c:v>
                </c:pt>
                <c:pt idx="74">
                  <c:v>2144</c:v>
                </c:pt>
                <c:pt idx="75">
                  <c:v>2137</c:v>
                </c:pt>
                <c:pt idx="76">
                  <c:v>2131</c:v>
                </c:pt>
                <c:pt idx="77">
                  <c:v>2125</c:v>
                </c:pt>
                <c:pt idx="78">
                  <c:v>2119</c:v>
                </c:pt>
                <c:pt idx="79">
                  <c:v>2112</c:v>
                </c:pt>
                <c:pt idx="80">
                  <c:v>2106</c:v>
                </c:pt>
                <c:pt idx="81">
                  <c:v>2100</c:v>
                </c:pt>
                <c:pt idx="82">
                  <c:v>2094</c:v>
                </c:pt>
                <c:pt idx="83">
                  <c:v>2087</c:v>
                </c:pt>
              </c:numCache>
            </c:numRef>
          </c:val>
        </c:ser>
        <c:ser>
          <c:idx val="2"/>
          <c:order val="2"/>
          <c:tx>
            <c:v>Tyrvaya Verordner</c:v>
          </c:tx>
          <c:spPr>
            <a:ln w="31750">
              <a:solidFill>
                <a:srgbClr val="D97706"/>
              </a:solidFill>
            </a:ln>
          </c:spPr>
          <c:marker>
            <c:symbol val="none"/>
          </c:marker>
          <c:cat>
            <c:numRef>
              <c:f>Portfolio!$B$5:$B$88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Portfolio!$N$5:$N$88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220</c:v>
                </c:pt>
                <c:pt idx="42">
                  <c:v>265</c:v>
                </c:pt>
                <c:pt idx="43">
                  <c:v>317</c:v>
                </c:pt>
                <c:pt idx="44">
                  <c:v>379</c:v>
                </c:pt>
                <c:pt idx="45">
                  <c:v>451</c:v>
                </c:pt>
                <c:pt idx="46">
                  <c:v>534</c:v>
                </c:pt>
                <c:pt idx="47">
                  <c:v>629</c:v>
                </c:pt>
                <c:pt idx="48">
                  <c:v>736</c:v>
                </c:pt>
                <c:pt idx="49">
                  <c:v>857</c:v>
                </c:pt>
                <c:pt idx="50">
                  <c:v>989</c:v>
                </c:pt>
                <c:pt idx="51">
                  <c:v>1132</c:v>
                </c:pt>
                <c:pt idx="52">
                  <c:v>1285</c:v>
                </c:pt>
                <c:pt idx="53">
                  <c:v>1445</c:v>
                </c:pt>
                <c:pt idx="54">
                  <c:v>1609</c:v>
                </c:pt>
                <c:pt idx="55">
                  <c:v>1773</c:v>
                </c:pt>
                <c:pt idx="56">
                  <c:v>1935</c:v>
                </c:pt>
                <c:pt idx="57">
                  <c:v>2091</c:v>
                </c:pt>
                <c:pt idx="58">
                  <c:v>2239</c:v>
                </c:pt>
                <c:pt idx="59">
                  <c:v>2376</c:v>
                </c:pt>
                <c:pt idx="60">
                  <c:v>2501</c:v>
                </c:pt>
                <c:pt idx="61">
                  <c:v>2613</c:v>
                </c:pt>
                <c:pt idx="62">
                  <c:v>2711</c:v>
                </c:pt>
                <c:pt idx="63">
                  <c:v>2797</c:v>
                </c:pt>
                <c:pt idx="64">
                  <c:v>2870</c:v>
                </c:pt>
                <c:pt idx="65">
                  <c:v>2931</c:v>
                </c:pt>
                <c:pt idx="66">
                  <c:v>2982</c:v>
                </c:pt>
                <c:pt idx="67">
                  <c:v>3024</c:v>
                </c:pt>
                <c:pt idx="68">
                  <c:v>3058</c:v>
                </c:pt>
                <c:pt idx="69">
                  <c:v>3085</c:v>
                </c:pt>
                <c:pt idx="70">
                  <c:v>3106</c:v>
                </c:pt>
                <c:pt idx="71">
                  <c:v>3122</c:v>
                </c:pt>
                <c:pt idx="72">
                  <c:v>3134</c:v>
                </c:pt>
                <c:pt idx="73">
                  <c:v>3142</c:v>
                </c:pt>
                <c:pt idx="74">
                  <c:v>3148</c:v>
                </c:pt>
                <c:pt idx="75">
                  <c:v>3150</c:v>
                </c:pt>
                <c:pt idx="76">
                  <c:v>3151</c:v>
                </c:pt>
                <c:pt idx="77">
                  <c:v>3150</c:v>
                </c:pt>
                <c:pt idx="78">
                  <c:v>3148</c:v>
                </c:pt>
                <c:pt idx="79">
                  <c:v>3144</c:v>
                </c:pt>
                <c:pt idx="80">
                  <c:v>3140</c:v>
                </c:pt>
                <c:pt idx="81">
                  <c:v>3134</c:v>
                </c:pt>
                <c:pt idx="82">
                  <c:v>3128</c:v>
                </c:pt>
                <c:pt idx="83">
                  <c:v>3122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Anzahl Verordner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Kumuliert: Umsatz, Gewinn, GTM-Invest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Kum. Umsatz</c:v>
          </c:tx>
          <c:spPr>
            <a:ln w="31750">
              <a:solidFill>
                <a:srgbClr val="1E3A5F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Forecast!$J$9:$J$92</c:f>
              <c:numCache>
                <c:formatCode>General</c:formatCode>
                <c:ptCount val="84"/>
                <c:pt idx="0">
                  <c:v>157433</c:v>
                </c:pt>
                <c:pt idx="1">
                  <c:v>372163</c:v>
                </c:pt>
                <c:pt idx="2">
                  <c:v>662488</c:v>
                </c:pt>
                <c:pt idx="3">
                  <c:v>1050567</c:v>
                </c:pt>
                <c:pt idx="4">
                  <c:v>1561828</c:v>
                </c:pt>
                <c:pt idx="5">
                  <c:v>2223360</c:v>
                </c:pt>
                <c:pt idx="6">
                  <c:v>2977366</c:v>
                </c:pt>
                <c:pt idx="7">
                  <c:v>3908318</c:v>
                </c:pt>
                <c:pt idx="8">
                  <c:v>5027394</c:v>
                </c:pt>
                <c:pt idx="9">
                  <c:v>6335938</c:v>
                </c:pt>
                <c:pt idx="10">
                  <c:v>7825197</c:v>
                </c:pt>
                <c:pt idx="11">
                  <c:v>9478143</c:v>
                </c:pt>
                <c:pt idx="12">
                  <c:v>11272594</c:v>
                </c:pt>
                <c:pt idx="13">
                  <c:v>13184579</c:v>
                </c:pt>
                <c:pt idx="14">
                  <c:v>15191040</c:v>
                </c:pt>
                <c:pt idx="15">
                  <c:v>17271524</c:v>
                </c:pt>
                <c:pt idx="16">
                  <c:v>19408908</c:v>
                </c:pt>
                <c:pt idx="17">
                  <c:v>21802218</c:v>
                </c:pt>
                <c:pt idx="18">
                  <c:v>24283629</c:v>
                </c:pt>
                <c:pt idx="19">
                  <c:v>26858007</c:v>
                </c:pt>
                <c:pt idx="20">
                  <c:v>29534435</c:v>
                </c:pt>
                <c:pt idx="21">
                  <c:v>32325668</c:v>
                </c:pt>
                <c:pt idx="22">
                  <c:v>35247393</c:v>
                </c:pt>
                <c:pt idx="23">
                  <c:v>38121798</c:v>
                </c:pt>
                <c:pt idx="24">
                  <c:v>41120808</c:v>
                </c:pt>
                <c:pt idx="25">
                  <c:v>44256445</c:v>
                </c:pt>
                <c:pt idx="26">
                  <c:v>47538714</c:v>
                </c:pt>
                <c:pt idx="27">
                  <c:v>50974367</c:v>
                </c:pt>
                <c:pt idx="28">
                  <c:v>54565946</c:v>
                </c:pt>
                <c:pt idx="29">
                  <c:v>58311328</c:v>
                </c:pt>
                <c:pt idx="30">
                  <c:v>62203852</c:v>
                </c:pt>
                <c:pt idx="31">
                  <c:v>66232999</c:v>
                </c:pt>
                <c:pt idx="32">
                  <c:v>70385443</c:v>
                </c:pt>
                <c:pt idx="33">
                  <c:v>74646265</c:v>
                </c:pt>
                <c:pt idx="34">
                  <c:v>79000092</c:v>
                </c:pt>
                <c:pt idx="35">
                  <c:v>83432025</c:v>
                </c:pt>
                <c:pt idx="36">
                  <c:v>87928289</c:v>
                </c:pt>
                <c:pt idx="37">
                  <c:v>92476614</c:v>
                </c:pt>
                <c:pt idx="38">
                  <c:v>97066378</c:v>
                </c:pt>
                <c:pt idx="39">
                  <c:v>101688602</c:v>
                </c:pt>
                <c:pt idx="40">
                  <c:v>106335827</c:v>
                </c:pt>
                <c:pt idx="41">
                  <c:v>111103673</c:v>
                </c:pt>
                <c:pt idx="42">
                  <c:v>115906553</c:v>
                </c:pt>
                <c:pt idx="43">
                  <c:v>120744452</c:v>
                </c:pt>
                <c:pt idx="44">
                  <c:v>125618727</c:v>
                </c:pt>
                <c:pt idx="45">
                  <c:v>130531949</c:v>
                </c:pt>
                <c:pt idx="46">
                  <c:v>135487753</c:v>
                </c:pt>
                <c:pt idx="47">
                  <c:v>140445890</c:v>
                </c:pt>
                <c:pt idx="48">
                  <c:v>145447895</c:v>
                </c:pt>
                <c:pt idx="49">
                  <c:v>150498190</c:v>
                </c:pt>
                <c:pt idx="50">
                  <c:v>155601270</c:v>
                </c:pt>
                <c:pt idx="51">
                  <c:v>160761405</c:v>
                </c:pt>
                <c:pt idx="52">
                  <c:v>165982319</c:v>
                </c:pt>
                <c:pt idx="53">
                  <c:v>171266896</c:v>
                </c:pt>
                <c:pt idx="54">
                  <c:v>176616926</c:v>
                </c:pt>
                <c:pt idx="55">
                  <c:v>182032932</c:v>
                </c:pt>
                <c:pt idx="56">
                  <c:v>187514105</c:v>
                </c:pt>
                <c:pt idx="57">
                  <c:v>193058341</c:v>
                </c:pt>
                <c:pt idx="58">
                  <c:v>198662387</c:v>
                </c:pt>
                <c:pt idx="59">
                  <c:v>204322061</c:v>
                </c:pt>
                <c:pt idx="60">
                  <c:v>210032514</c:v>
                </c:pt>
                <c:pt idx="61">
                  <c:v>215788510</c:v>
                </c:pt>
                <c:pt idx="62">
                  <c:v>221584677</c:v>
                </c:pt>
                <c:pt idx="63">
                  <c:v>227415723</c:v>
                </c:pt>
                <c:pt idx="64">
                  <c:v>233276605</c:v>
                </c:pt>
                <c:pt idx="65">
                  <c:v>239162638</c:v>
                </c:pt>
                <c:pt idx="66">
                  <c:v>245069570</c:v>
                </c:pt>
                <c:pt idx="67">
                  <c:v>250993604</c:v>
                </c:pt>
                <c:pt idx="68">
                  <c:v>256931405</c:v>
                </c:pt>
                <c:pt idx="69">
                  <c:v>262880078</c:v>
                </c:pt>
                <c:pt idx="70">
                  <c:v>268837135</c:v>
                </c:pt>
                <c:pt idx="71">
                  <c:v>274800454</c:v>
                </c:pt>
                <c:pt idx="72">
                  <c:v>280768240</c:v>
                </c:pt>
                <c:pt idx="73">
                  <c:v>286738984</c:v>
                </c:pt>
                <c:pt idx="74">
                  <c:v>292711418</c:v>
                </c:pt>
                <c:pt idx="75">
                  <c:v>298684487</c:v>
                </c:pt>
                <c:pt idx="76">
                  <c:v>304657312</c:v>
                </c:pt>
                <c:pt idx="77">
                  <c:v>310629160</c:v>
                </c:pt>
                <c:pt idx="78">
                  <c:v>316599429</c:v>
                </c:pt>
                <c:pt idx="79">
                  <c:v>322567615</c:v>
                </c:pt>
                <c:pt idx="80">
                  <c:v>328533305</c:v>
                </c:pt>
                <c:pt idx="81">
                  <c:v>334496155</c:v>
                </c:pt>
                <c:pt idx="82">
                  <c:v>340455883</c:v>
                </c:pt>
                <c:pt idx="83">
                  <c:v>346412252</c:v>
                </c:pt>
              </c:numCache>
            </c:numRef>
          </c:val>
        </c:ser>
        <c:ser>
          <c:idx val="1"/>
          <c:order val="1"/>
          <c:tx>
            <c:v>Kum. Gewinn</c:v>
          </c:tx>
          <c:spPr>
            <a:ln w="31750">
              <a:solidFill>
                <a:srgbClr val="27AE60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Forecast!$K$9:$K$92</c:f>
              <c:numCache>
                <c:formatCode>General</c:formatCode>
                <c:ptCount val="84"/>
                <c:pt idx="0">
                  <c:v>-602273</c:v>
                </c:pt>
                <c:pt idx="1">
                  <c:v>-1187251</c:v>
                </c:pt>
                <c:pt idx="2">
                  <c:v>-1741759</c:v>
                </c:pt>
                <c:pt idx="3">
                  <c:v>-2249842</c:v>
                </c:pt>
                <c:pt idx="4">
                  <c:v>-2693192</c:v>
                </c:pt>
                <c:pt idx="5">
                  <c:v>-3052306</c:v>
                </c:pt>
                <c:pt idx="6">
                  <c:v>-3368796</c:v>
                </c:pt>
                <c:pt idx="7">
                  <c:v>-3581844</c:v>
                </c:pt>
                <c:pt idx="8">
                  <c:v>-3683401</c:v>
                </c:pt>
                <c:pt idx="9">
                  <c:v>-3672500</c:v>
                </c:pt>
                <c:pt idx="10">
                  <c:v>-3555441</c:v>
                </c:pt>
                <c:pt idx="11">
                  <c:v>-3344487</c:v>
                </c:pt>
                <c:pt idx="12">
                  <c:v>-2798315</c:v>
                </c:pt>
                <c:pt idx="13">
                  <c:v>-2184186</c:v>
                </c:pt>
                <c:pt idx="14">
                  <c:v>-1518701</c:v>
                </c:pt>
                <c:pt idx="15">
                  <c:v>-816586</c:v>
                </c:pt>
                <c:pt idx="16">
                  <c:v>-90169</c:v>
                </c:pt>
                <c:pt idx="17">
                  <c:v>690868</c:v>
                </c:pt>
                <c:pt idx="18">
                  <c:v>1539787</c:v>
                </c:pt>
                <c:pt idx="19">
                  <c:v>2461131</c:v>
                </c:pt>
                <c:pt idx="20">
                  <c:v>3462653</c:v>
                </c:pt>
                <c:pt idx="21">
                  <c:v>4554915</c:v>
                </c:pt>
                <c:pt idx="22">
                  <c:v>5750731</c:v>
                </c:pt>
                <c:pt idx="23">
                  <c:v>6908043</c:v>
                </c:pt>
                <c:pt idx="24">
                  <c:v>8164531</c:v>
                </c:pt>
                <c:pt idx="25">
                  <c:v>9529911</c:v>
                </c:pt>
                <c:pt idx="26">
                  <c:v>11012261</c:v>
                </c:pt>
                <c:pt idx="27">
                  <c:v>12617035</c:v>
                </c:pt>
                <c:pt idx="28">
                  <c:v>14346304</c:v>
                </c:pt>
                <c:pt idx="29">
                  <c:v>16328395</c:v>
                </c:pt>
                <c:pt idx="30">
                  <c:v>18428001</c:v>
                </c:pt>
                <c:pt idx="31">
                  <c:v>20636718</c:v>
                </c:pt>
                <c:pt idx="32">
                  <c:v>22943897</c:v>
                </c:pt>
                <c:pt idx="33">
                  <c:v>25337610</c:v>
                </c:pt>
                <c:pt idx="34">
                  <c:v>27805562</c:v>
                </c:pt>
                <c:pt idx="35">
                  <c:v>30335838</c:v>
                </c:pt>
                <c:pt idx="36">
                  <c:v>32917422</c:v>
                </c:pt>
                <c:pt idx="37">
                  <c:v>35540498</c:v>
                </c:pt>
                <c:pt idx="38">
                  <c:v>38196570</c:v>
                </c:pt>
                <c:pt idx="39">
                  <c:v>40878456</c:v>
                </c:pt>
                <c:pt idx="40">
                  <c:v>43580189</c:v>
                </c:pt>
                <c:pt idx="41">
                  <c:v>46210300</c:v>
                </c:pt>
                <c:pt idx="42">
                  <c:v>48868706</c:v>
                </c:pt>
                <c:pt idx="43">
                  <c:v>51555476</c:v>
                </c:pt>
                <c:pt idx="44">
                  <c:v>54271784</c:v>
                </c:pt>
                <c:pt idx="45">
                  <c:v>57019789</c:v>
                </c:pt>
                <c:pt idx="46">
                  <c:v>59802511</c:v>
                </c:pt>
                <c:pt idx="47">
                  <c:v>62586977</c:v>
                </c:pt>
                <c:pt idx="48">
                  <c:v>65407269</c:v>
                </c:pt>
                <c:pt idx="49">
                  <c:v>68267032</c:v>
                </c:pt>
                <c:pt idx="50">
                  <c:v>71169968</c:v>
                </c:pt>
                <c:pt idx="51">
                  <c:v>74119588</c:v>
                </c:pt>
                <c:pt idx="52">
                  <c:v>77118956</c:v>
                </c:pt>
                <c:pt idx="53">
                  <c:v>80340443</c:v>
                </c:pt>
                <c:pt idx="54">
                  <c:v>83615521</c:v>
                </c:pt>
                <c:pt idx="55">
                  <c:v>86944626</c:v>
                </c:pt>
                <c:pt idx="56">
                  <c:v>90327095</c:v>
                </c:pt>
                <c:pt idx="57">
                  <c:v>93761206</c:v>
                </c:pt>
                <c:pt idx="58">
                  <c:v>97244294</c:v>
                </c:pt>
                <c:pt idx="59">
                  <c:v>100772928</c:v>
                </c:pt>
                <c:pt idx="60">
                  <c:v>104343138</c:v>
                </c:pt>
                <c:pt idx="61">
                  <c:v>107950628</c:v>
                </c:pt>
                <c:pt idx="62">
                  <c:v>111590993</c:v>
                </c:pt>
                <c:pt idx="63">
                  <c:v>115259896</c:v>
                </c:pt>
                <c:pt idx="64">
                  <c:v>118953201</c:v>
                </c:pt>
                <c:pt idx="65">
                  <c:v>122667067</c:v>
                </c:pt>
                <c:pt idx="66">
                  <c:v>126398005</c:v>
                </c:pt>
                <c:pt idx="67">
                  <c:v>130142905</c:v>
                </c:pt>
                <c:pt idx="68">
                  <c:v>133899031</c:v>
                </c:pt>
                <c:pt idx="69">
                  <c:v>137664009</c:v>
                </c:pt>
                <c:pt idx="70">
                  <c:v>141435798</c:v>
                </c:pt>
                <c:pt idx="71">
                  <c:v>145212658</c:v>
                </c:pt>
                <c:pt idx="72">
                  <c:v>148993119</c:v>
                </c:pt>
                <c:pt idx="73">
                  <c:v>152775940</c:v>
                </c:pt>
                <c:pt idx="74">
                  <c:v>156560084</c:v>
                </c:pt>
                <c:pt idx="75">
                  <c:v>160344684</c:v>
                </c:pt>
                <c:pt idx="76">
                  <c:v>164129020</c:v>
                </c:pt>
                <c:pt idx="77">
                  <c:v>167912491</c:v>
                </c:pt>
                <c:pt idx="78">
                  <c:v>171694602</c:v>
                </c:pt>
                <c:pt idx="79">
                  <c:v>175474942</c:v>
                </c:pt>
                <c:pt idx="80">
                  <c:v>179253169</c:v>
                </c:pt>
                <c:pt idx="81">
                  <c:v>183029003</c:v>
                </c:pt>
                <c:pt idx="82">
                  <c:v>186802211</c:v>
                </c:pt>
                <c:pt idx="83">
                  <c:v>190572600</c:v>
                </c:pt>
              </c:numCache>
            </c:numRef>
          </c:val>
        </c:ser>
        <c:ser>
          <c:idx val="2"/>
          <c:order val="2"/>
          <c:tx>
            <c:v>Kum. GTM-Invest</c:v>
          </c:tx>
          <c:spPr>
            <a:ln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Forecast!$L$9:$L$92</c:f>
              <c:numCache>
                <c:formatCode>General</c:formatCode>
                <c:ptCount val="84"/>
                <c:pt idx="0">
                  <c:v>715625</c:v>
                </c:pt>
                <c:pt idx="1">
                  <c:v>1455208</c:v>
                </c:pt>
                <c:pt idx="2">
                  <c:v>2218750</c:v>
                </c:pt>
                <c:pt idx="3">
                  <c:v>3006250</c:v>
                </c:pt>
                <c:pt idx="4">
                  <c:v>3817708</c:v>
                </c:pt>
                <c:pt idx="5">
                  <c:v>4653125</c:v>
                </c:pt>
                <c:pt idx="6">
                  <c:v>5512500</c:v>
                </c:pt>
                <c:pt idx="7">
                  <c:v>6395833</c:v>
                </c:pt>
                <c:pt idx="8">
                  <c:v>7303125</c:v>
                </c:pt>
                <c:pt idx="9">
                  <c:v>8234375</c:v>
                </c:pt>
                <c:pt idx="10">
                  <c:v>9189583</c:v>
                </c:pt>
                <c:pt idx="11">
                  <c:v>10168750</c:v>
                </c:pt>
                <c:pt idx="12">
                  <c:v>10914583</c:v>
                </c:pt>
                <c:pt idx="13">
                  <c:v>11677083</c:v>
                </c:pt>
                <c:pt idx="14">
                  <c:v>12456250</c:v>
                </c:pt>
                <c:pt idx="15">
                  <c:v>13252083</c:v>
                </c:pt>
                <c:pt idx="16">
                  <c:v>14064583</c:v>
                </c:pt>
                <c:pt idx="17">
                  <c:v>15023750</c:v>
                </c:pt>
                <c:pt idx="18">
                  <c:v>15982917</c:v>
                </c:pt>
                <c:pt idx="19">
                  <c:v>16942084</c:v>
                </c:pt>
                <c:pt idx="20">
                  <c:v>17901251</c:v>
                </c:pt>
                <c:pt idx="21">
                  <c:v>18860418</c:v>
                </c:pt>
                <c:pt idx="22">
                  <c:v>19819585</c:v>
                </c:pt>
                <c:pt idx="23">
                  <c:v>20778752</c:v>
                </c:pt>
                <c:pt idx="24">
                  <c:v>21737919</c:v>
                </c:pt>
                <c:pt idx="25">
                  <c:v>22697086</c:v>
                </c:pt>
                <c:pt idx="26">
                  <c:v>23656253</c:v>
                </c:pt>
                <c:pt idx="27">
                  <c:v>24615420</c:v>
                </c:pt>
                <c:pt idx="28">
                  <c:v>25574587</c:v>
                </c:pt>
                <c:pt idx="29">
                  <c:v>26403754</c:v>
                </c:pt>
                <c:pt idx="30">
                  <c:v>27232921</c:v>
                </c:pt>
                <c:pt idx="31">
                  <c:v>28062088</c:v>
                </c:pt>
                <c:pt idx="32">
                  <c:v>28891255</c:v>
                </c:pt>
                <c:pt idx="33">
                  <c:v>29720422</c:v>
                </c:pt>
                <c:pt idx="34">
                  <c:v>30549589</c:v>
                </c:pt>
                <c:pt idx="35">
                  <c:v>31378756</c:v>
                </c:pt>
                <c:pt idx="36">
                  <c:v>32207923</c:v>
                </c:pt>
                <c:pt idx="37">
                  <c:v>33037090</c:v>
                </c:pt>
                <c:pt idx="38">
                  <c:v>33866257</c:v>
                </c:pt>
                <c:pt idx="39">
                  <c:v>34695424</c:v>
                </c:pt>
                <c:pt idx="40">
                  <c:v>35524591</c:v>
                </c:pt>
                <c:pt idx="41">
                  <c:v>36523758</c:v>
                </c:pt>
                <c:pt idx="42">
                  <c:v>37522925</c:v>
                </c:pt>
                <c:pt idx="43">
                  <c:v>38522092</c:v>
                </c:pt>
                <c:pt idx="44">
                  <c:v>39521259</c:v>
                </c:pt>
                <c:pt idx="45">
                  <c:v>40520426</c:v>
                </c:pt>
                <c:pt idx="46">
                  <c:v>41519593</c:v>
                </c:pt>
                <c:pt idx="47">
                  <c:v>42518760</c:v>
                </c:pt>
                <c:pt idx="48">
                  <c:v>43517927</c:v>
                </c:pt>
                <c:pt idx="49">
                  <c:v>44517094</c:v>
                </c:pt>
                <c:pt idx="50">
                  <c:v>45516261</c:v>
                </c:pt>
                <c:pt idx="51">
                  <c:v>46515428</c:v>
                </c:pt>
                <c:pt idx="52">
                  <c:v>47514595</c:v>
                </c:pt>
                <c:pt idx="53">
                  <c:v>48343762</c:v>
                </c:pt>
                <c:pt idx="54">
                  <c:v>49172929</c:v>
                </c:pt>
                <c:pt idx="55">
                  <c:v>50002096</c:v>
                </c:pt>
                <c:pt idx="56">
                  <c:v>50831263</c:v>
                </c:pt>
                <c:pt idx="57">
                  <c:v>51660430</c:v>
                </c:pt>
                <c:pt idx="58">
                  <c:v>52489597</c:v>
                </c:pt>
                <c:pt idx="59">
                  <c:v>53318764</c:v>
                </c:pt>
                <c:pt idx="60">
                  <c:v>54147931</c:v>
                </c:pt>
                <c:pt idx="61">
                  <c:v>54977098</c:v>
                </c:pt>
                <c:pt idx="62">
                  <c:v>55806265</c:v>
                </c:pt>
                <c:pt idx="63">
                  <c:v>56635432</c:v>
                </c:pt>
                <c:pt idx="64">
                  <c:v>57464599</c:v>
                </c:pt>
                <c:pt idx="65">
                  <c:v>58293766</c:v>
                </c:pt>
                <c:pt idx="66">
                  <c:v>59122933</c:v>
                </c:pt>
                <c:pt idx="67">
                  <c:v>59952100</c:v>
                </c:pt>
                <c:pt idx="68">
                  <c:v>60781267</c:v>
                </c:pt>
                <c:pt idx="69">
                  <c:v>61610434</c:v>
                </c:pt>
                <c:pt idx="70">
                  <c:v>62439601</c:v>
                </c:pt>
                <c:pt idx="71">
                  <c:v>63268768</c:v>
                </c:pt>
                <c:pt idx="72">
                  <c:v>64097935</c:v>
                </c:pt>
                <c:pt idx="73">
                  <c:v>64927102</c:v>
                </c:pt>
                <c:pt idx="74">
                  <c:v>65756269</c:v>
                </c:pt>
                <c:pt idx="75">
                  <c:v>66585436</c:v>
                </c:pt>
                <c:pt idx="76">
                  <c:v>67414603</c:v>
                </c:pt>
                <c:pt idx="77">
                  <c:v>68243770</c:v>
                </c:pt>
                <c:pt idx="78">
                  <c:v>69072937</c:v>
                </c:pt>
                <c:pt idx="79">
                  <c:v>69902104</c:v>
                </c:pt>
                <c:pt idx="80">
                  <c:v>70731271</c:v>
                </c:pt>
                <c:pt idx="81">
                  <c:v>71560438</c:v>
                </c:pt>
                <c:pt idx="82">
                  <c:v>72389605</c:v>
                </c:pt>
                <c:pt idx="83">
                  <c:v>73218772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Monatl. Umsatz &amp; Aussendienst-Aufbau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1E3A5F"/>
            </a:solidFill>
          </c:spP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Forecast!$D$9:$D$92</c:f>
              <c:numCache>
                <c:formatCode>General</c:formatCode>
                <c:ptCount val="84"/>
                <c:pt idx="0">
                  <c:v>157433</c:v>
                </c:pt>
                <c:pt idx="1">
                  <c:v>214729</c:v>
                </c:pt>
                <c:pt idx="2">
                  <c:v>290325</c:v>
                </c:pt>
                <c:pt idx="3">
                  <c:v>388080</c:v>
                </c:pt>
                <c:pt idx="4">
                  <c:v>511261</c:v>
                </c:pt>
                <c:pt idx="5">
                  <c:v>661532</c:v>
                </c:pt>
                <c:pt idx="6">
                  <c:v>754006</c:v>
                </c:pt>
                <c:pt idx="7">
                  <c:v>930951</c:v>
                </c:pt>
                <c:pt idx="8">
                  <c:v>1119077</c:v>
                </c:pt>
                <c:pt idx="9">
                  <c:v>1308543</c:v>
                </c:pt>
                <c:pt idx="10">
                  <c:v>1489260</c:v>
                </c:pt>
                <c:pt idx="11">
                  <c:v>1652945</c:v>
                </c:pt>
                <c:pt idx="12">
                  <c:v>1794451</c:v>
                </c:pt>
                <c:pt idx="13">
                  <c:v>1911985</c:v>
                </c:pt>
                <c:pt idx="14">
                  <c:v>2006462</c:v>
                </c:pt>
                <c:pt idx="15">
                  <c:v>2080483</c:v>
                </c:pt>
                <c:pt idx="16">
                  <c:v>2137385</c:v>
                </c:pt>
                <c:pt idx="17">
                  <c:v>2393310</c:v>
                </c:pt>
                <c:pt idx="18">
                  <c:v>2481411</c:v>
                </c:pt>
                <c:pt idx="19">
                  <c:v>2574377</c:v>
                </c:pt>
                <c:pt idx="20">
                  <c:v>2676428</c:v>
                </c:pt>
                <c:pt idx="21">
                  <c:v>2791232</c:v>
                </c:pt>
                <c:pt idx="22">
                  <c:v>2921725</c:v>
                </c:pt>
                <c:pt idx="23">
                  <c:v>2874405</c:v>
                </c:pt>
                <c:pt idx="24">
                  <c:v>2999011</c:v>
                </c:pt>
                <c:pt idx="25">
                  <c:v>3135636</c:v>
                </c:pt>
                <c:pt idx="26">
                  <c:v>3282270</c:v>
                </c:pt>
                <c:pt idx="27">
                  <c:v>3435653</c:v>
                </c:pt>
                <c:pt idx="28">
                  <c:v>3591579</c:v>
                </c:pt>
                <c:pt idx="29">
                  <c:v>3745382</c:v>
                </c:pt>
                <c:pt idx="30">
                  <c:v>3892524</c:v>
                </c:pt>
                <c:pt idx="31">
                  <c:v>4029146</c:v>
                </c:pt>
                <c:pt idx="32">
                  <c:v>4152444</c:v>
                </c:pt>
                <c:pt idx="33">
                  <c:v>4260822</c:v>
                </c:pt>
                <c:pt idx="34">
                  <c:v>4353827</c:v>
                </c:pt>
                <c:pt idx="35">
                  <c:v>4431932</c:v>
                </c:pt>
                <c:pt idx="36">
                  <c:v>4496265</c:v>
                </c:pt>
                <c:pt idx="37">
                  <c:v>4548324</c:v>
                </c:pt>
                <c:pt idx="38">
                  <c:v>4589764</c:v>
                </c:pt>
                <c:pt idx="39">
                  <c:v>4622223</c:v>
                </c:pt>
                <c:pt idx="40">
                  <c:v>4647225</c:v>
                </c:pt>
                <c:pt idx="41">
                  <c:v>4767846</c:v>
                </c:pt>
                <c:pt idx="42">
                  <c:v>4802879</c:v>
                </c:pt>
                <c:pt idx="43">
                  <c:v>4837900</c:v>
                </c:pt>
                <c:pt idx="44">
                  <c:v>4874274</c:v>
                </c:pt>
                <c:pt idx="45">
                  <c:v>4913222</c:v>
                </c:pt>
                <c:pt idx="46">
                  <c:v>4955804</c:v>
                </c:pt>
                <c:pt idx="47">
                  <c:v>4958137</c:v>
                </c:pt>
                <c:pt idx="48">
                  <c:v>5002005</c:v>
                </c:pt>
                <c:pt idx="49">
                  <c:v>5050295</c:v>
                </c:pt>
                <c:pt idx="50">
                  <c:v>5103080</c:v>
                </c:pt>
                <c:pt idx="51">
                  <c:v>5160135</c:v>
                </c:pt>
                <c:pt idx="52">
                  <c:v>5220914</c:v>
                </c:pt>
                <c:pt idx="53">
                  <c:v>5284577</c:v>
                </c:pt>
                <c:pt idx="54">
                  <c:v>5350030</c:v>
                </c:pt>
                <c:pt idx="55">
                  <c:v>5416006</c:v>
                </c:pt>
                <c:pt idx="56">
                  <c:v>5481173</c:v>
                </c:pt>
                <c:pt idx="57">
                  <c:v>5544236</c:v>
                </c:pt>
                <c:pt idx="58">
                  <c:v>5604046</c:v>
                </c:pt>
                <c:pt idx="59">
                  <c:v>5659673</c:v>
                </c:pt>
                <c:pt idx="60">
                  <c:v>5710453</c:v>
                </c:pt>
                <c:pt idx="61">
                  <c:v>5755996</c:v>
                </c:pt>
                <c:pt idx="62">
                  <c:v>5796167</c:v>
                </c:pt>
                <c:pt idx="63">
                  <c:v>5831046</c:v>
                </c:pt>
                <c:pt idx="64">
                  <c:v>5860882</c:v>
                </c:pt>
                <c:pt idx="65">
                  <c:v>5886033</c:v>
                </c:pt>
                <c:pt idx="66">
                  <c:v>5906931</c:v>
                </c:pt>
                <c:pt idx="67">
                  <c:v>5924034</c:v>
                </c:pt>
                <c:pt idx="68">
                  <c:v>5937801</c:v>
                </c:pt>
                <c:pt idx="69">
                  <c:v>5948673</c:v>
                </c:pt>
                <c:pt idx="70">
                  <c:v>5957056</c:v>
                </c:pt>
                <c:pt idx="71">
                  <c:v>5963319</c:v>
                </c:pt>
                <c:pt idx="72">
                  <c:v>5967787</c:v>
                </c:pt>
                <c:pt idx="73">
                  <c:v>5970743</c:v>
                </c:pt>
                <c:pt idx="74">
                  <c:v>5972435</c:v>
                </c:pt>
                <c:pt idx="75">
                  <c:v>5973069</c:v>
                </c:pt>
                <c:pt idx="76">
                  <c:v>5972824</c:v>
                </c:pt>
                <c:pt idx="77">
                  <c:v>5971849</c:v>
                </c:pt>
                <c:pt idx="78">
                  <c:v>5970268</c:v>
                </c:pt>
                <c:pt idx="79">
                  <c:v>5968186</c:v>
                </c:pt>
                <c:pt idx="80">
                  <c:v>5965690</c:v>
                </c:pt>
                <c:pt idx="81">
                  <c:v>5962850</c:v>
                </c:pt>
                <c:pt idx="82">
                  <c:v>5959727</c:v>
                </c:pt>
                <c:pt idx="83">
                  <c:v>5956370</c:v>
                </c:pt>
              </c:numCache>
            </c:numRef>
          </c:val>
        </c:ser>
        <c:gapWidth val="50"/>
        <c:axId val="50040001"/>
        <c:axId val="50040002"/>
      </c:barChart>
      <c:lineChart>
        <c:grouping val="standard"/>
        <c:ser>
          <c:idx val="1"/>
          <c:order val="1"/>
          <c:tx>
            <c:v>Sales Reps</c:v>
          </c:tx>
          <c:spPr>
            <a:ln w="31750">
              <a:solidFill>
                <a:srgbClr val="D97706"/>
              </a:solidFill>
            </a:ln>
          </c:spPr>
          <c:marker>
            <c:symbol val="none"/>
          </c:marker>
          <c:cat>
            <c:numRef>
              <c:f>Forecast!$B$9:$B$92</c:f>
              <c:numCache>
                <c:formatCode>General</c:formatCode>
                <c:ptCount val="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</c:numCache>
            </c:numRef>
          </c:cat>
          <c:val>
            <c:numRef>
              <c:f>Forecast!$F$9:$F$92</c:f>
              <c:numCache>
                <c:formatCode>General</c:formatCode>
                <c:ptCount val="84"/>
                <c:pt idx="0">
                  <c:v>17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33</c:v>
                </c:pt>
                <c:pt idx="11">
                  <c:v>35</c:v>
                </c:pt>
                <c:pt idx="12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42</c:v>
                </c:pt>
                <c:pt idx="16">
                  <c:v>43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EUR/Monat</a:t>
                </a:r>
              </a:p>
            </c:rich>
          </c:tx>
          <c:layout/>
        </c:title>
        <c:numFmt formatCode="€#,##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9</xdr:col>
      <xdr:colOff>609600</xdr:colOff>
      <xdr:row>109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110</xdr:row>
      <xdr:rowOff>0</xdr:rowOff>
    </xdr:from>
    <xdr:to>
      <xdr:col>9</xdr:col>
      <xdr:colOff>609600</xdr:colOff>
      <xdr:row>129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93</xdr:row>
      <xdr:rowOff>0</xdr:rowOff>
    </xdr:from>
    <xdr:to>
      <xdr:col>9</xdr:col>
      <xdr:colOff>609600</xdr:colOff>
      <xdr:row>113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9</xdr:col>
      <xdr:colOff>609600</xdr:colOff>
      <xdr:row>133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66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8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7">
        <v>1</v>
      </c>
      <c r="D7" s="6" t="s">
        <v>7</v>
      </c>
    </row>
    <row r="8" spans="2:4">
      <c r="B8" s="4" t="s">
        <v>8</v>
      </c>
      <c r="C8" s="7">
        <v>800000</v>
      </c>
      <c r="D8" s="6" t="s">
        <v>9</v>
      </c>
    </row>
    <row r="9" spans="2:4">
      <c r="B9" s="4" t="s">
        <v>10</v>
      </c>
      <c r="C9" s="8">
        <v>0.25</v>
      </c>
      <c r="D9" s="6" t="s">
        <v>11</v>
      </c>
    </row>
    <row r="10" spans="2:4">
      <c r="B10" s="4" t="s">
        <v>12</v>
      </c>
      <c r="C10" s="8">
        <v>0.5</v>
      </c>
      <c r="D10" s="6" t="s">
        <v>13</v>
      </c>
    </row>
    <row r="11" spans="2:4">
      <c r="B11" s="4" t="s">
        <v>14</v>
      </c>
      <c r="C11" s="9">
        <v>25</v>
      </c>
      <c r="D11" s="6" t="s">
        <v>15</v>
      </c>
    </row>
    <row r="12" spans="2:4">
      <c r="B12" s="4" t="s">
        <v>16</v>
      </c>
      <c r="C12" s="8">
        <v>0.1</v>
      </c>
      <c r="D12" s="6" t="s">
        <v>17</v>
      </c>
    </row>
    <row r="13" spans="2:4">
      <c r="B13" s="4" t="s">
        <v>18</v>
      </c>
      <c r="C13" s="7">
        <v>18</v>
      </c>
      <c r="D13" s="6" t="s">
        <v>19</v>
      </c>
    </row>
    <row r="14" spans="2:4">
      <c r="B14" s="4" t="s">
        <v>20</v>
      </c>
      <c r="C14" s="7">
        <v>3000</v>
      </c>
      <c r="D14" s="6" t="s">
        <v>21</v>
      </c>
    </row>
    <row r="15" spans="2:4">
      <c r="B15" s="4" t="s">
        <v>22</v>
      </c>
      <c r="C15" s="8">
        <v>0.2</v>
      </c>
      <c r="D15" s="6" t="s">
        <v>23</v>
      </c>
    </row>
    <row r="16" spans="2:4">
      <c r="B16" s="4" t="s">
        <v>24</v>
      </c>
      <c r="C16" s="8">
        <v>0.08</v>
      </c>
      <c r="D16" s="6" t="s">
        <v>25</v>
      </c>
    </row>
    <row r="18" spans="2:4">
      <c r="B18" s="3" t="s">
        <v>26</v>
      </c>
      <c r="C18" s="3"/>
      <c r="D18" s="3"/>
    </row>
    <row r="19" spans="2:4">
      <c r="B19" s="4" t="s">
        <v>3</v>
      </c>
      <c r="C19" s="5" t="s">
        <v>27</v>
      </c>
      <c r="D19" s="6" t="s">
        <v>28</v>
      </c>
    </row>
    <row r="20" spans="2:4">
      <c r="B20" s="4" t="s">
        <v>6</v>
      </c>
      <c r="C20" s="7">
        <v>18</v>
      </c>
      <c r="D20" s="6" t="s">
        <v>29</v>
      </c>
    </row>
    <row r="21" spans="2:4">
      <c r="B21" s="4" t="s">
        <v>30</v>
      </c>
      <c r="C21" s="7">
        <v>15000000</v>
      </c>
      <c r="D21" s="6" t="s">
        <v>31</v>
      </c>
    </row>
    <row r="22" spans="2:4">
      <c r="B22" s="4" t="s">
        <v>10</v>
      </c>
      <c r="C22" s="8">
        <v>0.02</v>
      </c>
      <c r="D22" s="6" t="s">
        <v>32</v>
      </c>
    </row>
    <row r="23" spans="2:4">
      <c r="B23" s="4" t="s">
        <v>12</v>
      </c>
      <c r="C23" s="8">
        <v>0.4</v>
      </c>
      <c r="D23" s="6" t="s">
        <v>33</v>
      </c>
    </row>
    <row r="24" spans="2:4">
      <c r="B24" s="4" t="s">
        <v>34</v>
      </c>
      <c r="C24" s="9">
        <v>45</v>
      </c>
      <c r="D24" s="6" t="s">
        <v>35</v>
      </c>
    </row>
    <row r="25" spans="2:4">
      <c r="B25" s="4" t="s">
        <v>16</v>
      </c>
      <c r="C25" s="8">
        <v>0.25</v>
      </c>
      <c r="D25" s="6" t="s">
        <v>36</v>
      </c>
    </row>
    <row r="26" spans="2:4">
      <c r="B26" s="4" t="s">
        <v>18</v>
      </c>
      <c r="C26" s="7">
        <v>24</v>
      </c>
      <c r="D26" s="6" t="s">
        <v>19</v>
      </c>
    </row>
    <row r="27" spans="2:4">
      <c r="B27" s="4" t="s">
        <v>37</v>
      </c>
      <c r="C27" s="8">
        <v>0.6</v>
      </c>
      <c r="D27" s="6" t="s">
        <v>38</v>
      </c>
    </row>
    <row r="28" spans="2:4">
      <c r="B28" s="4" t="s">
        <v>39</v>
      </c>
      <c r="C28" s="8">
        <v>-0.03</v>
      </c>
      <c r="D28" s="6" t="s">
        <v>40</v>
      </c>
    </row>
    <row r="30" spans="2:4">
      <c r="B30" s="3" t="s">
        <v>41</v>
      </c>
      <c r="C30" s="3"/>
      <c r="D30" s="3"/>
    </row>
    <row r="31" spans="2:4">
      <c r="B31" s="4" t="s">
        <v>3</v>
      </c>
      <c r="C31" s="5" t="s">
        <v>42</v>
      </c>
      <c r="D31" s="6" t="s">
        <v>43</v>
      </c>
    </row>
    <row r="32" spans="2:4">
      <c r="B32" s="4" t="s">
        <v>6</v>
      </c>
      <c r="C32" s="7">
        <v>42</v>
      </c>
      <c r="D32" s="6" t="s">
        <v>44</v>
      </c>
    </row>
    <row r="33" spans="2:4">
      <c r="B33" s="4" t="s">
        <v>45</v>
      </c>
      <c r="C33" s="7">
        <v>1700000</v>
      </c>
      <c r="D33" s="6" t="s">
        <v>46</v>
      </c>
    </row>
    <row r="34" spans="2:4">
      <c r="B34" s="4" t="s">
        <v>10</v>
      </c>
      <c r="C34" s="8">
        <v>0.12</v>
      </c>
      <c r="D34" s="6" t="s">
        <v>47</v>
      </c>
    </row>
    <row r="35" spans="2:4">
      <c r="B35" s="4" t="s">
        <v>12</v>
      </c>
      <c r="C35" s="8">
        <v>0.2</v>
      </c>
      <c r="D35" s="6" t="s">
        <v>48</v>
      </c>
    </row>
    <row r="36" spans="2:4">
      <c r="B36" s="4" t="s">
        <v>34</v>
      </c>
      <c r="C36" s="9">
        <v>140</v>
      </c>
      <c r="D36" s="6" t="s">
        <v>49</v>
      </c>
    </row>
    <row r="37" spans="2:4">
      <c r="B37" s="4" t="s">
        <v>16</v>
      </c>
      <c r="C37" s="8">
        <v>0.15</v>
      </c>
      <c r="D37" s="6" t="s">
        <v>50</v>
      </c>
    </row>
    <row r="38" spans="2:4">
      <c r="B38" s="4" t="s">
        <v>18</v>
      </c>
      <c r="C38" s="7">
        <v>30</v>
      </c>
      <c r="D38" s="6" t="s">
        <v>51</v>
      </c>
    </row>
    <row r="39" spans="2:4">
      <c r="B39" s="4" t="s">
        <v>37</v>
      </c>
      <c r="C39" s="8">
        <v>0.65</v>
      </c>
      <c r="D39" s="6" t="s">
        <v>52</v>
      </c>
    </row>
    <row r="40" spans="2:4">
      <c r="B40" s="4" t="s">
        <v>53</v>
      </c>
      <c r="C40" s="7">
        <v>3</v>
      </c>
      <c r="D40" s="6" t="s">
        <v>54</v>
      </c>
    </row>
    <row r="42" spans="2:4">
      <c r="B42" s="3" t="s">
        <v>55</v>
      </c>
      <c r="C42" s="3"/>
      <c r="D42" s="3"/>
    </row>
    <row r="43" spans="2:4">
      <c r="B43" s="4" t="s">
        <v>56</v>
      </c>
      <c r="C43" s="7">
        <v>15</v>
      </c>
      <c r="D43" s="6" t="s">
        <v>57</v>
      </c>
    </row>
    <row r="44" spans="2:4">
      <c r="B44" s="4" t="s">
        <v>58</v>
      </c>
      <c r="C44" s="7">
        <v>45</v>
      </c>
      <c r="D44" s="6" t="s">
        <v>59</v>
      </c>
    </row>
    <row r="45" spans="2:4">
      <c r="B45" s="4" t="s">
        <v>60</v>
      </c>
      <c r="C45" s="7">
        <v>18</v>
      </c>
      <c r="D45" s="6" t="s">
        <v>61</v>
      </c>
    </row>
    <row r="46" spans="2:4">
      <c r="B46" s="4" t="s">
        <v>62</v>
      </c>
      <c r="C46" s="7">
        <v>120000</v>
      </c>
      <c r="D46" s="6" t="s">
        <v>63</v>
      </c>
    </row>
    <row r="47" spans="2:4">
      <c r="B47" s="4" t="s">
        <v>64</v>
      </c>
      <c r="C47" s="7">
        <v>12</v>
      </c>
      <c r="D47" s="6" t="s">
        <v>65</v>
      </c>
    </row>
    <row r="48" spans="2:4">
      <c r="B48" s="4" t="s">
        <v>66</v>
      </c>
      <c r="C48" s="7">
        <v>150000</v>
      </c>
      <c r="D48" s="6" t="s">
        <v>67</v>
      </c>
    </row>
    <row r="49" spans="2:5">
      <c r="B49" s="4" t="s">
        <v>68</v>
      </c>
      <c r="C49" s="7">
        <v>400000</v>
      </c>
      <c r="D49" s="6" t="s">
        <v>69</v>
      </c>
    </row>
    <row r="50" spans="2:5">
      <c r="B50" s="4" t="s">
        <v>70</v>
      </c>
      <c r="C50" s="7">
        <v>150000</v>
      </c>
      <c r="D50" s="6" t="s">
        <v>71</v>
      </c>
    </row>
    <row r="51" spans="2:5">
      <c r="B51" s="4" t="s">
        <v>72</v>
      </c>
      <c r="C51" s="7">
        <v>12</v>
      </c>
      <c r="D51" s="6" t="s">
        <v>73</v>
      </c>
    </row>
    <row r="52" spans="2:5">
      <c r="B52" s="4" t="s">
        <v>74</v>
      </c>
      <c r="C52" s="7">
        <v>200000</v>
      </c>
      <c r="D52" s="6" t="s">
        <v>75</v>
      </c>
    </row>
    <row r="53" spans="2:5">
      <c r="B53" s="4" t="s">
        <v>76</v>
      </c>
      <c r="C53" s="7">
        <v>150000</v>
      </c>
      <c r="D53" s="6" t="s">
        <v>77</v>
      </c>
    </row>
    <row r="54" spans="2:5">
      <c r="B54" s="4" t="s">
        <v>78</v>
      </c>
      <c r="C54" s="7">
        <v>50000</v>
      </c>
      <c r="D54" s="6" t="s">
        <v>79</v>
      </c>
    </row>
    <row r="55" spans="2:5">
      <c r="B55" s="4" t="s">
        <v>80</v>
      </c>
      <c r="C55" s="8">
        <v>0.7</v>
      </c>
      <c r="D55" s="6" t="s">
        <v>81</v>
      </c>
    </row>
    <row r="56" spans="2:5">
      <c r="B56" s="4" t="s">
        <v>82</v>
      </c>
      <c r="C56" s="8">
        <v>0.8</v>
      </c>
      <c r="D56" s="6" t="s">
        <v>83</v>
      </c>
    </row>
    <row r="58" spans="2:5">
      <c r="B58" s="3" t="s">
        <v>84</v>
      </c>
      <c r="C58" s="3"/>
      <c r="D58" s="3"/>
    </row>
    <row r="59" spans="2:5">
      <c r="B59" s="10" t="s">
        <v>85</v>
      </c>
      <c r="C59" s="10" t="s">
        <v>86</v>
      </c>
      <c r="D59" s="10" t="s">
        <v>87</v>
      </c>
      <c r="E59" s="10" t="s">
        <v>88</v>
      </c>
    </row>
    <row r="60" spans="2:5">
      <c r="B60" s="4" t="s">
        <v>89</v>
      </c>
      <c r="C60" s="7">
        <v>60</v>
      </c>
      <c r="D60" s="7">
        <v>42</v>
      </c>
      <c r="E60" s="7">
        <v>30</v>
      </c>
    </row>
    <row r="61" spans="2:5">
      <c r="B61" s="4" t="s">
        <v>90</v>
      </c>
      <c r="C61" s="8">
        <v>0.12</v>
      </c>
      <c r="D61" s="8">
        <v>0.2</v>
      </c>
      <c r="E61" s="8">
        <v>0.25</v>
      </c>
    </row>
    <row r="62" spans="2:5">
      <c r="B62" s="4" t="s">
        <v>91</v>
      </c>
      <c r="C62" s="7">
        <v>24</v>
      </c>
      <c r="D62" s="7">
        <v>18</v>
      </c>
      <c r="E62" s="7">
        <v>12</v>
      </c>
    </row>
    <row r="63" spans="2:5">
      <c r="B63" s="4" t="s">
        <v>58</v>
      </c>
      <c r="C63" s="7">
        <v>35</v>
      </c>
      <c r="D63" s="7">
        <v>45</v>
      </c>
      <c r="E63" s="7">
        <v>60</v>
      </c>
    </row>
    <row r="64" spans="2:5">
      <c r="B64" s="4" t="s">
        <v>92</v>
      </c>
      <c r="C64" s="7">
        <v>24</v>
      </c>
      <c r="D64" s="7">
        <v>18</v>
      </c>
      <c r="E64" s="7">
        <v>12</v>
      </c>
    </row>
    <row r="65" spans="2:5">
      <c r="B65" s="4" t="s">
        <v>93</v>
      </c>
      <c r="C65" s="7">
        <v>30</v>
      </c>
      <c r="D65" s="7">
        <v>24</v>
      </c>
      <c r="E65" s="7">
        <v>18</v>
      </c>
    </row>
    <row r="66" spans="2:5">
      <c r="B66" s="4" t="s">
        <v>94</v>
      </c>
      <c r="C66" s="7">
        <v>36</v>
      </c>
      <c r="D66" s="7">
        <v>30</v>
      </c>
      <c r="E66" s="7">
        <v>24</v>
      </c>
    </row>
  </sheetData>
  <mergeCells count="7">
    <mergeCell ref="B2:D2"/>
    <mergeCell ref="B3:D3"/>
    <mergeCell ref="B5:D5"/>
    <mergeCell ref="B18:D18"/>
    <mergeCell ref="B30:D30"/>
    <mergeCell ref="B42:D42"/>
    <mergeCell ref="B58:D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F42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7" width="20.7109375" customWidth="1"/>
  </cols>
  <sheetData>
    <row r="2" spans="2:6">
      <c r="B2" s="1" t="s">
        <v>95</v>
      </c>
      <c r="C2" s="1"/>
      <c r="D2" s="1"/>
      <c r="E2" s="1"/>
      <c r="F2" s="1"/>
    </row>
    <row r="4" spans="2:6">
      <c r="B4" s="3" t="s">
        <v>96</v>
      </c>
      <c r="C4" s="3"/>
      <c r="D4" s="3"/>
      <c r="E4" s="3"/>
      <c r="F4" s="3"/>
    </row>
    <row r="5" spans="2:6">
      <c r="B5" s="4" t="s">
        <v>97</v>
      </c>
      <c r="C5" s="11" t="s">
        <v>98</v>
      </c>
      <c r="D5" s="11"/>
      <c r="E5" s="11"/>
      <c r="F5" s="11"/>
    </row>
    <row r="6" spans="2:6">
      <c r="B6" s="4" t="s">
        <v>99</v>
      </c>
      <c r="C6" s="11" t="s">
        <v>100</v>
      </c>
      <c r="D6" s="11"/>
      <c r="E6" s="11"/>
      <c r="F6" s="11"/>
    </row>
    <row r="7" spans="2:6">
      <c r="B7" s="4" t="s">
        <v>101</v>
      </c>
      <c r="C7" s="11" t="s">
        <v>102</v>
      </c>
      <c r="D7" s="11"/>
      <c r="E7" s="11"/>
      <c r="F7" s="11"/>
    </row>
    <row r="8" spans="2:6">
      <c r="B8" s="4" t="s">
        <v>103</v>
      </c>
      <c r="C8" s="11" t="s">
        <v>104</v>
      </c>
      <c r="D8" s="11"/>
      <c r="E8" s="11"/>
      <c r="F8" s="11"/>
    </row>
    <row r="9" spans="2:6">
      <c r="B9" s="4" t="s">
        <v>105</v>
      </c>
      <c r="C9" s="11" t="s">
        <v>106</v>
      </c>
      <c r="D9" s="11"/>
      <c r="E9" s="11"/>
      <c r="F9" s="11"/>
    </row>
    <row r="11" spans="2:6">
      <c r="B11" s="3" t="s">
        <v>107</v>
      </c>
      <c r="C11" s="3"/>
      <c r="D11" s="3"/>
      <c r="E11" s="3"/>
      <c r="F11" s="3"/>
    </row>
    <row r="12" spans="2:6">
      <c r="B12" s="4" t="s">
        <v>108</v>
      </c>
      <c r="C12" s="11" t="s">
        <v>109</v>
      </c>
      <c r="D12" s="11"/>
      <c r="E12" s="11"/>
      <c r="F12" s="11"/>
    </row>
    <row r="13" spans="2:6">
      <c r="B13" s="4" t="s">
        <v>110</v>
      </c>
      <c r="C13" s="11" t="s">
        <v>111</v>
      </c>
      <c r="D13" s="11"/>
      <c r="E13" s="11"/>
      <c r="F13" s="11"/>
    </row>
    <row r="14" spans="2:6">
      <c r="B14" s="4" t="s">
        <v>112</v>
      </c>
      <c r="C14" s="11" t="s">
        <v>113</v>
      </c>
      <c r="D14" s="11"/>
      <c r="E14" s="11"/>
      <c r="F14" s="11"/>
    </row>
    <row r="15" spans="2:6">
      <c r="B15" s="4" t="s">
        <v>114</v>
      </c>
      <c r="C15" s="11" t="s">
        <v>115</v>
      </c>
      <c r="D15" s="11"/>
      <c r="E15" s="11"/>
      <c r="F15" s="11"/>
    </row>
    <row r="16" spans="2:6">
      <c r="B16" s="4" t="s">
        <v>116</v>
      </c>
      <c r="C16" s="11" t="s">
        <v>117</v>
      </c>
      <c r="D16" s="11"/>
      <c r="E16" s="11"/>
      <c r="F16" s="11"/>
    </row>
    <row r="17" spans="2:6">
      <c r="B17" s="4" t="s">
        <v>118</v>
      </c>
      <c r="C17" s="11" t="s">
        <v>119</v>
      </c>
      <c r="D17" s="11"/>
      <c r="E17" s="11"/>
      <c r="F17" s="11"/>
    </row>
    <row r="18" spans="2:6">
      <c r="B18" s="4" t="s">
        <v>120</v>
      </c>
      <c r="C18" s="11" t="s">
        <v>121</v>
      </c>
      <c r="D18" s="11"/>
      <c r="E18" s="11"/>
      <c r="F18" s="11"/>
    </row>
    <row r="20" spans="2:6">
      <c r="B20" s="3" t="s">
        <v>122</v>
      </c>
      <c r="C20" s="3"/>
      <c r="D20" s="3"/>
      <c r="E20" s="3"/>
      <c r="F20" s="3"/>
    </row>
    <row r="21" spans="2:6" ht="30" customHeight="1">
      <c r="B21" s="10" t="s">
        <v>123</v>
      </c>
      <c r="C21" s="10" t="s">
        <v>124</v>
      </c>
      <c r="D21" s="10" t="s">
        <v>3</v>
      </c>
      <c r="E21" s="10" t="s">
        <v>125</v>
      </c>
      <c r="F21" s="10" t="s">
        <v>126</v>
      </c>
    </row>
    <row r="22" spans="2:6">
      <c r="B22" s="4" t="s">
        <v>127</v>
      </c>
      <c r="C22" s="11" t="s">
        <v>128</v>
      </c>
      <c r="D22" s="11" t="s">
        <v>129</v>
      </c>
      <c r="E22" s="11" t="s">
        <v>130</v>
      </c>
      <c r="F22" s="11" t="s">
        <v>131</v>
      </c>
    </row>
    <row r="23" spans="2:6">
      <c r="B23" s="4" t="s">
        <v>132</v>
      </c>
      <c r="C23" s="11" t="s">
        <v>133</v>
      </c>
      <c r="D23" s="11" t="s">
        <v>134</v>
      </c>
      <c r="E23" s="11" t="s">
        <v>135</v>
      </c>
      <c r="F23" s="11" t="s">
        <v>136</v>
      </c>
    </row>
    <row r="24" spans="2:6">
      <c r="B24" s="4" t="s">
        <v>137</v>
      </c>
      <c r="C24" s="11" t="s">
        <v>138</v>
      </c>
      <c r="D24" s="11" t="s">
        <v>139</v>
      </c>
      <c r="E24" s="11" t="s">
        <v>140</v>
      </c>
      <c r="F24" s="11" t="s">
        <v>141</v>
      </c>
    </row>
    <row r="25" spans="2:6">
      <c r="B25" s="4" t="s">
        <v>142</v>
      </c>
      <c r="C25" s="11" t="s">
        <v>143</v>
      </c>
      <c r="D25" s="11" t="s">
        <v>144</v>
      </c>
      <c r="E25" s="11" t="s">
        <v>145</v>
      </c>
      <c r="F25" s="11" t="s">
        <v>146</v>
      </c>
    </row>
    <row r="26" spans="2:6">
      <c r="B26" s="4" t="s">
        <v>147</v>
      </c>
      <c r="C26" s="11" t="s">
        <v>148</v>
      </c>
      <c r="D26" s="11" t="s">
        <v>149</v>
      </c>
      <c r="E26" s="11" t="s">
        <v>150</v>
      </c>
      <c r="F26" s="11" t="s">
        <v>151</v>
      </c>
    </row>
    <row r="28" spans="2:6">
      <c r="B28" s="3" t="s">
        <v>152</v>
      </c>
      <c r="C28" s="3"/>
      <c r="D28" s="3"/>
      <c r="E28" s="3"/>
      <c r="F28" s="3"/>
    </row>
    <row r="29" spans="2:6">
      <c r="B29" s="4" t="s">
        <v>153</v>
      </c>
      <c r="C29" s="11" t="s">
        <v>154</v>
      </c>
      <c r="D29" s="11"/>
      <c r="E29" s="11"/>
      <c r="F29" s="11"/>
    </row>
    <row r="30" spans="2:6">
      <c r="B30" s="4" t="s">
        <v>155</v>
      </c>
      <c r="C30" s="11" t="s">
        <v>156</v>
      </c>
      <c r="D30" s="11"/>
      <c r="E30" s="11"/>
      <c r="F30" s="11"/>
    </row>
    <row r="31" spans="2:6">
      <c r="B31" s="4" t="s">
        <v>157</v>
      </c>
      <c r="C31" s="11" t="s">
        <v>158</v>
      </c>
      <c r="D31" s="11"/>
      <c r="E31" s="11"/>
      <c r="F31" s="11"/>
    </row>
    <row r="32" spans="2:6">
      <c r="B32" s="4" t="s">
        <v>159</v>
      </c>
      <c r="C32" s="11" t="s">
        <v>160</v>
      </c>
      <c r="D32" s="11"/>
      <c r="E32" s="11"/>
      <c r="F32" s="11"/>
    </row>
    <row r="33" spans="2:6">
      <c r="B33" s="4" t="s">
        <v>161</v>
      </c>
      <c r="C33" s="11" t="s">
        <v>162</v>
      </c>
      <c r="D33" s="11"/>
      <c r="E33" s="11"/>
      <c r="F33" s="11"/>
    </row>
    <row r="34" spans="2:6">
      <c r="B34" s="4" t="s">
        <v>163</v>
      </c>
      <c r="C34" s="11" t="s">
        <v>164</v>
      </c>
      <c r="D34" s="11"/>
      <c r="E34" s="11"/>
      <c r="F34" s="11"/>
    </row>
    <row r="35" spans="2:6">
      <c r="B35" s="4" t="s">
        <v>165</v>
      </c>
      <c r="C35" s="11" t="s">
        <v>166</v>
      </c>
      <c r="D35" s="11"/>
      <c r="E35" s="11"/>
      <c r="F35" s="11"/>
    </row>
    <row r="37" spans="2:6">
      <c r="B37" s="3" t="s">
        <v>167</v>
      </c>
      <c r="C37" s="3"/>
      <c r="D37" s="3"/>
      <c r="E37" s="3"/>
      <c r="F37" s="3"/>
    </row>
    <row r="38" spans="2:6">
      <c r="B38" s="4" t="s">
        <v>168</v>
      </c>
      <c r="C38" s="11" t="s">
        <v>169</v>
      </c>
      <c r="D38" s="11"/>
      <c r="E38" s="11"/>
      <c r="F38" s="11"/>
    </row>
    <row r="39" spans="2:6">
      <c r="B39" s="4" t="s">
        <v>170</v>
      </c>
      <c r="C39" s="11" t="s">
        <v>171</v>
      </c>
      <c r="D39" s="11"/>
      <c r="E39" s="11"/>
      <c r="F39" s="11"/>
    </row>
    <row r="40" spans="2:6">
      <c r="B40" s="4" t="s">
        <v>172</v>
      </c>
      <c r="C40" s="11" t="s">
        <v>173</v>
      </c>
      <c r="D40" s="11"/>
      <c r="E40" s="11"/>
      <c r="F40" s="11"/>
    </row>
    <row r="41" spans="2:6">
      <c r="B41" s="4" t="s">
        <v>174</v>
      </c>
      <c r="C41" s="11" t="s">
        <v>175</v>
      </c>
      <c r="D41" s="11"/>
      <c r="E41" s="11"/>
      <c r="F41" s="11"/>
    </row>
    <row r="42" spans="2:6">
      <c r="B42" s="4" t="s">
        <v>176</v>
      </c>
      <c r="C42" s="11" t="s">
        <v>177</v>
      </c>
      <c r="D42" s="11"/>
      <c r="E42" s="11"/>
      <c r="F42" s="11"/>
    </row>
  </sheetData>
  <mergeCells count="30">
    <mergeCell ref="B2:F2"/>
    <mergeCell ref="B4:F4"/>
    <mergeCell ref="C5:F5"/>
    <mergeCell ref="C6:F6"/>
    <mergeCell ref="C7:F7"/>
    <mergeCell ref="C8:F8"/>
    <mergeCell ref="C9:F9"/>
    <mergeCell ref="B11:F11"/>
    <mergeCell ref="C12:F12"/>
    <mergeCell ref="C13:F13"/>
    <mergeCell ref="C14:F14"/>
    <mergeCell ref="C15:F15"/>
    <mergeCell ref="C16:F16"/>
    <mergeCell ref="C17:F17"/>
    <mergeCell ref="C18:F18"/>
    <mergeCell ref="B20:F20"/>
    <mergeCell ref="B28:F28"/>
    <mergeCell ref="C29:F29"/>
    <mergeCell ref="C30:F30"/>
    <mergeCell ref="C31:F31"/>
    <mergeCell ref="C32:F32"/>
    <mergeCell ref="C33:F33"/>
    <mergeCell ref="C34:F34"/>
    <mergeCell ref="C35:F35"/>
    <mergeCell ref="B37:F37"/>
    <mergeCell ref="C38:F38"/>
    <mergeCell ref="C39:F39"/>
    <mergeCell ref="C40:F40"/>
    <mergeCell ref="C41:F41"/>
    <mergeCell ref="C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C3AED"/>
  </sheetPr>
  <dimension ref="B2:O88"/>
  <sheetViews>
    <sheetView showGridLines="0" workbookViewId="0"/>
  </sheetViews>
  <sheetFormatPr defaultRowHeight="15"/>
  <cols>
    <col min="1" max="1" width="3.7109375" customWidth="1"/>
    <col min="2" max="2" width="10.7109375" customWidth="1"/>
    <col min="3" max="17" width="14.7109375" customWidth="1"/>
  </cols>
  <sheetData>
    <row r="2" spans="2:15">
      <c r="B2" s="1" t="s">
        <v>178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5" ht="35" customHeight="1">
      <c r="B4" s="10" t="s">
        <v>179</v>
      </c>
      <c r="C4" s="12" t="s">
        <v>180</v>
      </c>
      <c r="D4" s="12" t="s">
        <v>181</v>
      </c>
      <c r="E4" s="12" t="s">
        <v>182</v>
      </c>
      <c r="F4" s="12" t="s">
        <v>183</v>
      </c>
      <c r="G4" s="10" t="s">
        <v>184</v>
      </c>
      <c r="H4" s="10" t="s">
        <v>185</v>
      </c>
      <c r="I4" s="10" t="s">
        <v>186</v>
      </c>
      <c r="J4" s="10" t="s">
        <v>187</v>
      </c>
      <c r="K4" s="13" t="s">
        <v>188</v>
      </c>
      <c r="L4" s="13" t="s">
        <v>189</v>
      </c>
      <c r="M4" s="13" t="s">
        <v>190</v>
      </c>
      <c r="N4" s="13" t="s">
        <v>191</v>
      </c>
      <c r="O4" s="14" t="s">
        <v>192</v>
      </c>
    </row>
    <row r="5" spans="2:15">
      <c r="B5">
        <v>1</v>
      </c>
      <c r="C5" s="15">
        <v>6297</v>
      </c>
      <c r="D5" s="16">
        <v>25</v>
      </c>
      <c r="E5" s="17">
        <v>157433</v>
      </c>
      <c r="F5" s="15">
        <v>189</v>
      </c>
      <c r="G5" s="15">
        <v>0</v>
      </c>
      <c r="H5" s="16">
        <v>0</v>
      </c>
      <c r="I5" s="17">
        <v>0</v>
      </c>
      <c r="J5" s="15">
        <v>0</v>
      </c>
      <c r="K5" s="15">
        <v>0</v>
      </c>
      <c r="L5" s="16">
        <v>0</v>
      </c>
      <c r="M5" s="17">
        <v>0</v>
      </c>
      <c r="N5" s="15">
        <v>0</v>
      </c>
      <c r="O5" s="17">
        <v>157433</v>
      </c>
    </row>
    <row r="6" spans="2:15">
      <c r="B6" s="18">
        <v>2</v>
      </c>
      <c r="C6" s="19">
        <v>8589</v>
      </c>
      <c r="D6" s="20">
        <v>25</v>
      </c>
      <c r="E6" s="20">
        <v>214729</v>
      </c>
      <c r="F6" s="19">
        <v>257</v>
      </c>
      <c r="G6" s="19">
        <v>0</v>
      </c>
      <c r="H6" s="20">
        <v>0</v>
      </c>
      <c r="I6" s="20">
        <v>0</v>
      </c>
      <c r="J6" s="19">
        <v>0</v>
      </c>
      <c r="K6" s="19">
        <v>0</v>
      </c>
      <c r="L6" s="20">
        <v>0</v>
      </c>
      <c r="M6" s="20">
        <v>0</v>
      </c>
      <c r="N6" s="19">
        <v>0</v>
      </c>
      <c r="O6" s="20">
        <v>214729</v>
      </c>
    </row>
    <row r="7" spans="2:15">
      <c r="B7">
        <v>3</v>
      </c>
      <c r="C7" s="15">
        <v>11613</v>
      </c>
      <c r="D7" s="16">
        <v>25</v>
      </c>
      <c r="E7" s="17">
        <v>290325</v>
      </c>
      <c r="F7" s="15">
        <v>347</v>
      </c>
      <c r="G7" s="15">
        <v>0</v>
      </c>
      <c r="H7" s="16">
        <v>0</v>
      </c>
      <c r="I7" s="17">
        <v>0</v>
      </c>
      <c r="J7" s="15">
        <v>0</v>
      </c>
      <c r="K7" s="15">
        <v>0</v>
      </c>
      <c r="L7" s="16">
        <v>0</v>
      </c>
      <c r="M7" s="17">
        <v>0</v>
      </c>
      <c r="N7" s="15">
        <v>0</v>
      </c>
      <c r="O7" s="17">
        <v>290325</v>
      </c>
    </row>
    <row r="8" spans="2:15">
      <c r="B8" s="18">
        <v>4</v>
      </c>
      <c r="C8" s="19">
        <v>15523</v>
      </c>
      <c r="D8" s="20">
        <v>25</v>
      </c>
      <c r="E8" s="20">
        <v>388080</v>
      </c>
      <c r="F8" s="19">
        <v>463</v>
      </c>
      <c r="G8" s="19">
        <v>0</v>
      </c>
      <c r="H8" s="20">
        <v>0</v>
      </c>
      <c r="I8" s="20">
        <v>0</v>
      </c>
      <c r="J8" s="19">
        <v>0</v>
      </c>
      <c r="K8" s="19">
        <v>0</v>
      </c>
      <c r="L8" s="20">
        <v>0</v>
      </c>
      <c r="M8" s="20">
        <v>0</v>
      </c>
      <c r="N8" s="19">
        <v>0</v>
      </c>
      <c r="O8" s="20">
        <v>388080</v>
      </c>
    </row>
    <row r="9" spans="2:15">
      <c r="B9">
        <v>5</v>
      </c>
      <c r="C9" s="15">
        <v>20450</v>
      </c>
      <c r="D9" s="16">
        <v>25</v>
      </c>
      <c r="E9" s="17">
        <v>511261</v>
      </c>
      <c r="F9" s="15">
        <v>609</v>
      </c>
      <c r="G9" s="15">
        <v>0</v>
      </c>
      <c r="H9" s="16">
        <v>0</v>
      </c>
      <c r="I9" s="17">
        <v>0</v>
      </c>
      <c r="J9" s="15">
        <v>0</v>
      </c>
      <c r="K9" s="15">
        <v>0</v>
      </c>
      <c r="L9" s="16">
        <v>0</v>
      </c>
      <c r="M9" s="17">
        <v>0</v>
      </c>
      <c r="N9" s="15">
        <v>0</v>
      </c>
      <c r="O9" s="17">
        <v>511261</v>
      </c>
    </row>
    <row r="10" spans="2:15">
      <c r="B10" s="18">
        <v>6</v>
      </c>
      <c r="C10" s="19">
        <v>26461</v>
      </c>
      <c r="D10" s="20">
        <v>25</v>
      </c>
      <c r="E10" s="20">
        <v>661532</v>
      </c>
      <c r="F10" s="19">
        <v>787</v>
      </c>
      <c r="G10" s="19">
        <v>0</v>
      </c>
      <c r="H10" s="20">
        <v>0</v>
      </c>
      <c r="I10" s="20">
        <v>0</v>
      </c>
      <c r="J10" s="19">
        <v>0</v>
      </c>
      <c r="K10" s="19">
        <v>0</v>
      </c>
      <c r="L10" s="20">
        <v>0</v>
      </c>
      <c r="M10" s="20">
        <v>0</v>
      </c>
      <c r="N10" s="19">
        <v>0</v>
      </c>
      <c r="O10" s="20">
        <v>661532</v>
      </c>
    </row>
    <row r="11" spans="2:15">
      <c r="B11">
        <v>7</v>
      </c>
      <c r="C11" s="15">
        <v>33511</v>
      </c>
      <c r="D11" s="16">
        <v>22.5</v>
      </c>
      <c r="E11" s="17">
        <v>754006</v>
      </c>
      <c r="F11" s="15">
        <v>995</v>
      </c>
      <c r="G11" s="15">
        <v>0</v>
      </c>
      <c r="H11" s="16">
        <v>0</v>
      </c>
      <c r="I11" s="17">
        <v>0</v>
      </c>
      <c r="J11" s="15">
        <v>0</v>
      </c>
      <c r="K11" s="15">
        <v>0</v>
      </c>
      <c r="L11" s="16">
        <v>0</v>
      </c>
      <c r="M11" s="17">
        <v>0</v>
      </c>
      <c r="N11" s="15">
        <v>0</v>
      </c>
      <c r="O11" s="17">
        <v>754006</v>
      </c>
    </row>
    <row r="12" spans="2:15">
      <c r="B12" s="18">
        <v>8</v>
      </c>
      <c r="C12" s="19">
        <v>41410</v>
      </c>
      <c r="D12" s="20">
        <v>22.48</v>
      </c>
      <c r="E12" s="20">
        <v>930951</v>
      </c>
      <c r="F12" s="19">
        <v>1228</v>
      </c>
      <c r="G12" s="19">
        <v>0</v>
      </c>
      <c r="H12" s="20">
        <v>0</v>
      </c>
      <c r="I12" s="20">
        <v>0</v>
      </c>
      <c r="J12" s="19">
        <v>0</v>
      </c>
      <c r="K12" s="19">
        <v>0</v>
      </c>
      <c r="L12" s="20">
        <v>0</v>
      </c>
      <c r="M12" s="20">
        <v>0</v>
      </c>
      <c r="N12" s="19">
        <v>0</v>
      </c>
      <c r="O12" s="20">
        <v>930951</v>
      </c>
    </row>
    <row r="13" spans="2:15">
      <c r="B13">
        <v>9</v>
      </c>
      <c r="C13" s="15">
        <v>49820</v>
      </c>
      <c r="D13" s="16">
        <v>22.46</v>
      </c>
      <c r="E13" s="17">
        <v>1119077</v>
      </c>
      <c r="F13" s="15">
        <v>1475</v>
      </c>
      <c r="G13" s="15">
        <v>0</v>
      </c>
      <c r="H13" s="16">
        <v>0</v>
      </c>
      <c r="I13" s="17">
        <v>0</v>
      </c>
      <c r="J13" s="15">
        <v>0</v>
      </c>
      <c r="K13" s="15">
        <v>0</v>
      </c>
      <c r="L13" s="16">
        <v>0</v>
      </c>
      <c r="M13" s="17">
        <v>0</v>
      </c>
      <c r="N13" s="15">
        <v>0</v>
      </c>
      <c r="O13" s="17">
        <v>1119077</v>
      </c>
    </row>
    <row r="14" spans="2:15">
      <c r="B14" s="18">
        <v>10</v>
      </c>
      <c r="C14" s="19">
        <v>58304</v>
      </c>
      <c r="D14" s="20">
        <v>22.44</v>
      </c>
      <c r="E14" s="20">
        <v>1308543</v>
      </c>
      <c r="F14" s="19">
        <v>1723</v>
      </c>
      <c r="G14" s="19">
        <v>0</v>
      </c>
      <c r="H14" s="20">
        <v>0</v>
      </c>
      <c r="I14" s="20">
        <v>0</v>
      </c>
      <c r="J14" s="19">
        <v>0</v>
      </c>
      <c r="K14" s="19">
        <v>0</v>
      </c>
      <c r="L14" s="20">
        <v>0</v>
      </c>
      <c r="M14" s="20">
        <v>0</v>
      </c>
      <c r="N14" s="19">
        <v>0</v>
      </c>
      <c r="O14" s="20">
        <v>1308543</v>
      </c>
    </row>
    <row r="15" spans="2:15">
      <c r="B15">
        <v>11</v>
      </c>
      <c r="C15" s="15">
        <v>66411</v>
      </c>
      <c r="D15" s="16">
        <v>22.42</v>
      </c>
      <c r="E15" s="17">
        <v>1489260</v>
      </c>
      <c r="F15" s="15">
        <v>1960</v>
      </c>
      <c r="G15" s="15">
        <v>0</v>
      </c>
      <c r="H15" s="16">
        <v>0</v>
      </c>
      <c r="I15" s="17">
        <v>0</v>
      </c>
      <c r="J15" s="15">
        <v>0</v>
      </c>
      <c r="K15" s="15">
        <v>0</v>
      </c>
      <c r="L15" s="16">
        <v>0</v>
      </c>
      <c r="M15" s="17">
        <v>0</v>
      </c>
      <c r="N15" s="15">
        <v>0</v>
      </c>
      <c r="O15" s="17">
        <v>1489260</v>
      </c>
    </row>
    <row r="16" spans="2:15">
      <c r="B16" s="18">
        <v>12</v>
      </c>
      <c r="C16" s="19">
        <v>73773</v>
      </c>
      <c r="D16" s="20">
        <v>22.41</v>
      </c>
      <c r="E16" s="20">
        <v>1652945</v>
      </c>
      <c r="F16" s="19">
        <v>2173</v>
      </c>
      <c r="G16" s="19">
        <v>0</v>
      </c>
      <c r="H16" s="20">
        <v>0</v>
      </c>
      <c r="I16" s="20">
        <v>0</v>
      </c>
      <c r="J16" s="19">
        <v>0</v>
      </c>
      <c r="K16" s="19">
        <v>0</v>
      </c>
      <c r="L16" s="20">
        <v>0</v>
      </c>
      <c r="M16" s="20">
        <v>0</v>
      </c>
      <c r="N16" s="19">
        <v>0</v>
      </c>
      <c r="O16" s="20">
        <v>1652945</v>
      </c>
    </row>
    <row r="17" spans="2:15">
      <c r="B17">
        <v>13</v>
      </c>
      <c r="C17" s="15">
        <v>80155</v>
      </c>
      <c r="D17" s="16">
        <v>22.39</v>
      </c>
      <c r="E17" s="17">
        <v>1794451</v>
      </c>
      <c r="F17" s="15">
        <v>2358</v>
      </c>
      <c r="G17" s="15">
        <v>0</v>
      </c>
      <c r="H17" s="16">
        <v>0</v>
      </c>
      <c r="I17" s="17">
        <v>0</v>
      </c>
      <c r="J17" s="15">
        <v>0</v>
      </c>
      <c r="K17" s="15">
        <v>0</v>
      </c>
      <c r="L17" s="16">
        <v>0</v>
      </c>
      <c r="M17" s="17">
        <v>0</v>
      </c>
      <c r="N17" s="15">
        <v>0</v>
      </c>
      <c r="O17" s="17">
        <v>1794451</v>
      </c>
    </row>
    <row r="18" spans="2:15">
      <c r="B18" s="18">
        <v>14</v>
      </c>
      <c r="C18" s="19">
        <v>85477</v>
      </c>
      <c r="D18" s="20">
        <v>22.37</v>
      </c>
      <c r="E18" s="20">
        <v>1911985</v>
      </c>
      <c r="F18" s="19">
        <v>2510</v>
      </c>
      <c r="G18" s="19">
        <v>0</v>
      </c>
      <c r="H18" s="20">
        <v>0</v>
      </c>
      <c r="I18" s="20">
        <v>0</v>
      </c>
      <c r="J18" s="19">
        <v>0</v>
      </c>
      <c r="K18" s="19">
        <v>0</v>
      </c>
      <c r="L18" s="20">
        <v>0</v>
      </c>
      <c r="M18" s="20">
        <v>0</v>
      </c>
      <c r="N18" s="19">
        <v>0</v>
      </c>
      <c r="O18" s="20">
        <v>1911985</v>
      </c>
    </row>
    <row r="19" spans="2:15">
      <c r="B19">
        <v>15</v>
      </c>
      <c r="C19" s="15">
        <v>89776</v>
      </c>
      <c r="D19" s="16">
        <v>22.35</v>
      </c>
      <c r="E19" s="17">
        <v>2006462</v>
      </c>
      <c r="F19" s="15">
        <v>2632</v>
      </c>
      <c r="G19" s="15">
        <v>0</v>
      </c>
      <c r="H19" s="16">
        <v>0</v>
      </c>
      <c r="I19" s="17">
        <v>0</v>
      </c>
      <c r="J19" s="15">
        <v>0</v>
      </c>
      <c r="K19" s="15">
        <v>0</v>
      </c>
      <c r="L19" s="16">
        <v>0</v>
      </c>
      <c r="M19" s="17">
        <v>0</v>
      </c>
      <c r="N19" s="15">
        <v>0</v>
      </c>
      <c r="O19" s="17">
        <v>2006462</v>
      </c>
    </row>
    <row r="20" spans="2:15">
      <c r="B20" s="18">
        <v>16</v>
      </c>
      <c r="C20" s="19">
        <v>93166</v>
      </c>
      <c r="D20" s="20">
        <v>22.33</v>
      </c>
      <c r="E20" s="20">
        <v>2080483</v>
      </c>
      <c r="F20" s="19">
        <v>2727</v>
      </c>
      <c r="G20" s="19">
        <v>0</v>
      </c>
      <c r="H20" s="20">
        <v>0</v>
      </c>
      <c r="I20" s="20">
        <v>0</v>
      </c>
      <c r="J20" s="19">
        <v>0</v>
      </c>
      <c r="K20" s="19">
        <v>0</v>
      </c>
      <c r="L20" s="20">
        <v>0</v>
      </c>
      <c r="M20" s="20">
        <v>0</v>
      </c>
      <c r="N20" s="19">
        <v>0</v>
      </c>
      <c r="O20" s="20">
        <v>2080483</v>
      </c>
    </row>
    <row r="21" spans="2:15">
      <c r="B21">
        <v>17</v>
      </c>
      <c r="C21" s="15">
        <v>95794</v>
      </c>
      <c r="D21" s="16">
        <v>22.31</v>
      </c>
      <c r="E21" s="17">
        <v>2137385</v>
      </c>
      <c r="F21" s="15">
        <v>2799</v>
      </c>
      <c r="G21" s="15">
        <v>0</v>
      </c>
      <c r="H21" s="16">
        <v>0</v>
      </c>
      <c r="I21" s="17">
        <v>0</v>
      </c>
      <c r="J21" s="15">
        <v>0</v>
      </c>
      <c r="K21" s="15">
        <v>0</v>
      </c>
      <c r="L21" s="16">
        <v>0</v>
      </c>
      <c r="M21" s="17">
        <v>0</v>
      </c>
      <c r="N21" s="15">
        <v>0</v>
      </c>
      <c r="O21" s="17">
        <v>2137385</v>
      </c>
    </row>
    <row r="22" spans="2:15">
      <c r="B22" s="18">
        <v>18</v>
      </c>
      <c r="C22" s="19">
        <v>97810</v>
      </c>
      <c r="D22" s="20">
        <v>22.29</v>
      </c>
      <c r="E22" s="20">
        <v>2180551</v>
      </c>
      <c r="F22" s="19">
        <v>2853</v>
      </c>
      <c r="G22" s="19">
        <v>4728</v>
      </c>
      <c r="H22" s="20">
        <v>45</v>
      </c>
      <c r="I22" s="20">
        <v>212759</v>
      </c>
      <c r="J22" s="19">
        <v>157</v>
      </c>
      <c r="K22" s="19">
        <v>0</v>
      </c>
      <c r="L22" s="20">
        <v>0</v>
      </c>
      <c r="M22" s="20">
        <v>0</v>
      </c>
      <c r="N22" s="19">
        <v>0</v>
      </c>
      <c r="O22" s="20">
        <v>2393310</v>
      </c>
    </row>
    <row r="23" spans="2:15">
      <c r="B23">
        <v>19</v>
      </c>
      <c r="C23" s="15">
        <v>99351</v>
      </c>
      <c r="D23" s="16">
        <v>22.27</v>
      </c>
      <c r="E23" s="17">
        <v>2213034</v>
      </c>
      <c r="F23" s="15">
        <v>2893</v>
      </c>
      <c r="G23" s="15">
        <v>5964</v>
      </c>
      <c r="H23" s="16">
        <v>45</v>
      </c>
      <c r="I23" s="17">
        <v>268377</v>
      </c>
      <c r="J23" s="15">
        <v>198</v>
      </c>
      <c r="K23" s="15">
        <v>0</v>
      </c>
      <c r="L23" s="16">
        <v>0</v>
      </c>
      <c r="M23" s="17">
        <v>0</v>
      </c>
      <c r="N23" s="15">
        <v>0</v>
      </c>
      <c r="O23" s="17">
        <v>2481411</v>
      </c>
    </row>
    <row r="24" spans="2:15">
      <c r="B24" s="18">
        <v>20</v>
      </c>
      <c r="C24" s="19">
        <v>100528</v>
      </c>
      <c r="D24" s="20">
        <v>22.26</v>
      </c>
      <c r="E24" s="20">
        <v>2237394</v>
      </c>
      <c r="F24" s="19">
        <v>2923</v>
      </c>
      <c r="G24" s="19">
        <v>7489</v>
      </c>
      <c r="H24" s="20">
        <v>45</v>
      </c>
      <c r="I24" s="20">
        <v>336984</v>
      </c>
      <c r="J24" s="19">
        <v>248</v>
      </c>
      <c r="K24" s="19">
        <v>0</v>
      </c>
      <c r="L24" s="20">
        <v>0</v>
      </c>
      <c r="M24" s="20">
        <v>0</v>
      </c>
      <c r="N24" s="19">
        <v>0</v>
      </c>
      <c r="O24" s="20">
        <v>2574377</v>
      </c>
    </row>
    <row r="25" spans="2:15">
      <c r="B25">
        <v>21</v>
      </c>
      <c r="C25" s="15">
        <v>101435</v>
      </c>
      <c r="D25" s="16">
        <v>22.24</v>
      </c>
      <c r="E25" s="17">
        <v>2255676</v>
      </c>
      <c r="F25" s="15">
        <v>2944</v>
      </c>
      <c r="G25" s="15">
        <v>9350</v>
      </c>
      <c r="H25" s="16">
        <v>45</v>
      </c>
      <c r="I25" s="17">
        <v>420752</v>
      </c>
      <c r="J25" s="15">
        <v>309</v>
      </c>
      <c r="K25" s="15">
        <v>0</v>
      </c>
      <c r="L25" s="16">
        <v>0</v>
      </c>
      <c r="M25" s="17">
        <v>0</v>
      </c>
      <c r="N25" s="15">
        <v>0</v>
      </c>
      <c r="O25" s="17">
        <v>2676428</v>
      </c>
    </row>
    <row r="26" spans="2:15">
      <c r="B26" s="18">
        <v>22</v>
      </c>
      <c r="C26" s="19">
        <v>102140</v>
      </c>
      <c r="D26" s="20">
        <v>22.22</v>
      </c>
      <c r="E26" s="20">
        <v>2269466</v>
      </c>
      <c r="F26" s="19">
        <v>2960</v>
      </c>
      <c r="G26" s="19">
        <v>11595</v>
      </c>
      <c r="H26" s="20">
        <v>45</v>
      </c>
      <c r="I26" s="20">
        <v>521766</v>
      </c>
      <c r="J26" s="19">
        <v>382</v>
      </c>
      <c r="K26" s="19">
        <v>0</v>
      </c>
      <c r="L26" s="20">
        <v>0</v>
      </c>
      <c r="M26" s="20">
        <v>0</v>
      </c>
      <c r="N26" s="19">
        <v>0</v>
      </c>
      <c r="O26" s="20">
        <v>2791232</v>
      </c>
    </row>
    <row r="27" spans="2:15">
      <c r="B27">
        <v>23</v>
      </c>
      <c r="C27" s="15">
        <v>102699</v>
      </c>
      <c r="D27" s="16">
        <v>22.2</v>
      </c>
      <c r="E27" s="17">
        <v>2279963</v>
      </c>
      <c r="F27" s="15">
        <v>2971</v>
      </c>
      <c r="G27" s="15">
        <v>14261</v>
      </c>
      <c r="H27" s="16">
        <v>45</v>
      </c>
      <c r="I27" s="17">
        <v>641762</v>
      </c>
      <c r="J27" s="15">
        <v>469</v>
      </c>
      <c r="K27" s="15">
        <v>0</v>
      </c>
      <c r="L27" s="16">
        <v>0</v>
      </c>
      <c r="M27" s="17">
        <v>0</v>
      </c>
      <c r="N27" s="15">
        <v>0</v>
      </c>
      <c r="O27" s="17">
        <v>2921725</v>
      </c>
    </row>
    <row r="28" spans="2:15">
      <c r="B28" s="18">
        <v>24</v>
      </c>
      <c r="C28" s="19">
        <v>103150</v>
      </c>
      <c r="D28" s="20">
        <v>22.18</v>
      </c>
      <c r="E28" s="20">
        <v>2288062</v>
      </c>
      <c r="F28" s="19">
        <v>2979</v>
      </c>
      <c r="G28" s="19">
        <v>17373</v>
      </c>
      <c r="H28" s="20">
        <v>33.75</v>
      </c>
      <c r="I28" s="20">
        <v>586343</v>
      </c>
      <c r="J28" s="19">
        <v>570</v>
      </c>
      <c r="K28" s="19">
        <v>0</v>
      </c>
      <c r="L28" s="20">
        <v>0</v>
      </c>
      <c r="M28" s="20">
        <v>0</v>
      </c>
      <c r="N28" s="19">
        <v>0</v>
      </c>
      <c r="O28" s="20">
        <v>2874405</v>
      </c>
    </row>
    <row r="29" spans="2:15">
      <c r="B29">
        <v>25</v>
      </c>
      <c r="C29" s="15">
        <v>103523</v>
      </c>
      <c r="D29" s="16">
        <v>22.16</v>
      </c>
      <c r="E29" s="17">
        <v>2294422</v>
      </c>
      <c r="F29" s="15">
        <v>2985</v>
      </c>
      <c r="G29" s="15">
        <v>20930</v>
      </c>
      <c r="H29" s="16">
        <v>33.66</v>
      </c>
      <c r="I29" s="17">
        <v>704589</v>
      </c>
      <c r="J29" s="15">
        <v>685</v>
      </c>
      <c r="K29" s="15">
        <v>0</v>
      </c>
      <c r="L29" s="16">
        <v>0</v>
      </c>
      <c r="M29" s="17">
        <v>0</v>
      </c>
      <c r="N29" s="15">
        <v>0</v>
      </c>
      <c r="O29" s="17">
        <v>2999011</v>
      </c>
    </row>
    <row r="30" spans="2:15">
      <c r="B30" s="18">
        <v>26</v>
      </c>
      <c r="C30" s="19">
        <v>103840</v>
      </c>
      <c r="D30" s="20">
        <v>22.14</v>
      </c>
      <c r="E30" s="20">
        <v>2299525</v>
      </c>
      <c r="F30" s="19">
        <v>2989</v>
      </c>
      <c r="G30" s="19">
        <v>24900</v>
      </c>
      <c r="H30" s="20">
        <v>33.58</v>
      </c>
      <c r="I30" s="20">
        <v>836112</v>
      </c>
      <c r="J30" s="19">
        <v>813</v>
      </c>
      <c r="K30" s="19">
        <v>0</v>
      </c>
      <c r="L30" s="20">
        <v>0</v>
      </c>
      <c r="M30" s="20">
        <v>0</v>
      </c>
      <c r="N30" s="19">
        <v>0</v>
      </c>
      <c r="O30" s="20">
        <v>3135636</v>
      </c>
    </row>
    <row r="31" spans="2:15">
      <c r="B31">
        <v>27</v>
      </c>
      <c r="C31" s="15">
        <v>104117</v>
      </c>
      <c r="D31" s="16">
        <v>22.13</v>
      </c>
      <c r="E31" s="17">
        <v>2303721</v>
      </c>
      <c r="F31" s="15">
        <v>2992</v>
      </c>
      <c r="G31" s="15">
        <v>29216</v>
      </c>
      <c r="H31" s="16">
        <v>33.49</v>
      </c>
      <c r="I31" s="17">
        <v>978548</v>
      </c>
      <c r="J31" s="15">
        <v>952</v>
      </c>
      <c r="K31" s="15">
        <v>0</v>
      </c>
      <c r="L31" s="16">
        <v>0</v>
      </c>
      <c r="M31" s="17">
        <v>0</v>
      </c>
      <c r="N31" s="15">
        <v>0</v>
      </c>
      <c r="O31" s="17">
        <v>3282270</v>
      </c>
    </row>
    <row r="32" spans="2:15">
      <c r="B32" s="18">
        <v>28</v>
      </c>
      <c r="C32" s="19">
        <v>104365</v>
      </c>
      <c r="D32" s="20">
        <v>22.11</v>
      </c>
      <c r="E32" s="20">
        <v>2307266</v>
      </c>
      <c r="F32" s="19">
        <v>2995</v>
      </c>
      <c r="G32" s="19">
        <v>33775</v>
      </c>
      <c r="H32" s="20">
        <v>33.41</v>
      </c>
      <c r="I32" s="20">
        <v>1128387</v>
      </c>
      <c r="J32" s="19">
        <v>1097</v>
      </c>
      <c r="K32" s="19">
        <v>0</v>
      </c>
      <c r="L32" s="20">
        <v>0</v>
      </c>
      <c r="M32" s="20">
        <v>0</v>
      </c>
      <c r="N32" s="19">
        <v>0</v>
      </c>
      <c r="O32" s="20">
        <v>3435653</v>
      </c>
    </row>
    <row r="33" spans="2:15">
      <c r="B33">
        <v>29</v>
      </c>
      <c r="C33" s="15">
        <v>104591</v>
      </c>
      <c r="D33" s="16">
        <v>22.09</v>
      </c>
      <c r="E33" s="17">
        <v>2310343</v>
      </c>
      <c r="F33" s="15">
        <v>2996</v>
      </c>
      <c r="G33" s="15">
        <v>38447</v>
      </c>
      <c r="H33" s="16">
        <v>33.32</v>
      </c>
      <c r="I33" s="17">
        <v>1281236</v>
      </c>
      <c r="J33" s="15">
        <v>1246</v>
      </c>
      <c r="K33" s="15">
        <v>0</v>
      </c>
      <c r="L33" s="16">
        <v>0</v>
      </c>
      <c r="M33" s="17">
        <v>0</v>
      </c>
      <c r="N33" s="15">
        <v>0</v>
      </c>
      <c r="O33" s="17">
        <v>3591579</v>
      </c>
    </row>
    <row r="34" spans="2:15">
      <c r="B34" s="18">
        <v>30</v>
      </c>
      <c r="C34" s="19">
        <v>104803</v>
      </c>
      <c r="D34" s="20">
        <v>22.07</v>
      </c>
      <c r="E34" s="20">
        <v>2313083</v>
      </c>
      <c r="F34" s="19">
        <v>2997</v>
      </c>
      <c r="G34" s="19">
        <v>43090</v>
      </c>
      <c r="H34" s="20">
        <v>33.24</v>
      </c>
      <c r="I34" s="20">
        <v>1432299</v>
      </c>
      <c r="J34" s="19">
        <v>1393</v>
      </c>
      <c r="K34" s="19">
        <v>0</v>
      </c>
      <c r="L34" s="20">
        <v>0</v>
      </c>
      <c r="M34" s="20">
        <v>0</v>
      </c>
      <c r="N34" s="19">
        <v>0</v>
      </c>
      <c r="O34" s="20">
        <v>3745382</v>
      </c>
    </row>
    <row r="35" spans="2:15">
      <c r="B35">
        <v>31</v>
      </c>
      <c r="C35" s="15">
        <v>105004</v>
      </c>
      <c r="D35" s="16">
        <v>22.05</v>
      </c>
      <c r="E35" s="17">
        <v>2315581</v>
      </c>
      <c r="F35" s="15">
        <v>2998</v>
      </c>
      <c r="G35" s="15">
        <v>47562</v>
      </c>
      <c r="H35" s="16">
        <v>33.16</v>
      </c>
      <c r="I35" s="17">
        <v>1576943</v>
      </c>
      <c r="J35" s="15">
        <v>1534</v>
      </c>
      <c r="K35" s="15">
        <v>0</v>
      </c>
      <c r="L35" s="16">
        <v>0</v>
      </c>
      <c r="M35" s="17">
        <v>0</v>
      </c>
      <c r="N35" s="15">
        <v>0</v>
      </c>
      <c r="O35" s="17">
        <v>3892524</v>
      </c>
    </row>
    <row r="36" spans="2:15">
      <c r="B36" s="18">
        <v>32</v>
      </c>
      <c r="C36" s="19">
        <v>105198</v>
      </c>
      <c r="D36" s="20">
        <v>22.03</v>
      </c>
      <c r="E36" s="20">
        <v>2317908</v>
      </c>
      <c r="F36" s="19">
        <v>2999</v>
      </c>
      <c r="G36" s="19">
        <v>51743</v>
      </c>
      <c r="H36" s="20">
        <v>33.07</v>
      </c>
      <c r="I36" s="20">
        <v>1711239</v>
      </c>
      <c r="J36" s="19">
        <v>1665</v>
      </c>
      <c r="K36" s="19">
        <v>0</v>
      </c>
      <c r="L36" s="20">
        <v>0</v>
      </c>
      <c r="M36" s="20">
        <v>0</v>
      </c>
      <c r="N36" s="19">
        <v>0</v>
      </c>
      <c r="O36" s="20">
        <v>4029146</v>
      </c>
    </row>
    <row r="37" spans="2:15">
      <c r="B37">
        <v>33</v>
      </c>
      <c r="C37" s="15">
        <v>105386</v>
      </c>
      <c r="D37" s="16">
        <v>22.02</v>
      </c>
      <c r="E37" s="17">
        <v>2320110</v>
      </c>
      <c r="F37" s="15">
        <v>2999</v>
      </c>
      <c r="G37" s="15">
        <v>55546</v>
      </c>
      <c r="H37" s="16">
        <v>32.99</v>
      </c>
      <c r="I37" s="17">
        <v>1832334</v>
      </c>
      <c r="J37" s="15">
        <v>1782</v>
      </c>
      <c r="K37" s="15">
        <v>0</v>
      </c>
      <c r="L37" s="16">
        <v>0</v>
      </c>
      <c r="M37" s="17">
        <v>0</v>
      </c>
      <c r="N37" s="15">
        <v>0</v>
      </c>
      <c r="O37" s="17">
        <v>4152444</v>
      </c>
    </row>
    <row r="38" spans="2:15">
      <c r="B38" s="18">
        <v>34</v>
      </c>
      <c r="C38" s="19">
        <v>105570</v>
      </c>
      <c r="D38" s="20">
        <v>22</v>
      </c>
      <c r="E38" s="20">
        <v>2322225</v>
      </c>
      <c r="F38" s="19">
        <v>2999</v>
      </c>
      <c r="G38" s="19">
        <v>58917</v>
      </c>
      <c r="H38" s="20">
        <v>32.9</v>
      </c>
      <c r="I38" s="20">
        <v>1938598</v>
      </c>
      <c r="J38" s="19">
        <v>1886</v>
      </c>
      <c r="K38" s="19">
        <v>0</v>
      </c>
      <c r="L38" s="20">
        <v>0</v>
      </c>
      <c r="M38" s="20">
        <v>0</v>
      </c>
      <c r="N38" s="19">
        <v>0</v>
      </c>
      <c r="O38" s="20">
        <v>4260822</v>
      </c>
    </row>
    <row r="39" spans="2:15">
      <c r="B39">
        <v>35</v>
      </c>
      <c r="C39" s="15">
        <v>105752</v>
      </c>
      <c r="D39" s="16">
        <v>21.98</v>
      </c>
      <c r="E39" s="17">
        <v>2324277</v>
      </c>
      <c r="F39" s="15">
        <v>2999</v>
      </c>
      <c r="G39" s="15">
        <v>61838</v>
      </c>
      <c r="H39" s="16">
        <v>32.82</v>
      </c>
      <c r="I39" s="17">
        <v>2029550</v>
      </c>
      <c r="J39" s="15">
        <v>1975</v>
      </c>
      <c r="K39" s="15">
        <v>0</v>
      </c>
      <c r="L39" s="16">
        <v>0</v>
      </c>
      <c r="M39" s="17">
        <v>0</v>
      </c>
      <c r="N39" s="15">
        <v>0</v>
      </c>
      <c r="O39" s="17">
        <v>4353827</v>
      </c>
    </row>
    <row r="40" spans="2:15">
      <c r="B40" s="18">
        <v>36</v>
      </c>
      <c r="C40" s="19">
        <v>105932</v>
      </c>
      <c r="D40" s="20">
        <v>21.96</v>
      </c>
      <c r="E40" s="20">
        <v>2326284</v>
      </c>
      <c r="F40" s="19">
        <v>3000</v>
      </c>
      <c r="G40" s="19">
        <v>64319</v>
      </c>
      <c r="H40" s="20">
        <v>32.74</v>
      </c>
      <c r="I40" s="20">
        <v>2105649</v>
      </c>
      <c r="J40" s="19">
        <v>2049</v>
      </c>
      <c r="K40" s="19">
        <v>0</v>
      </c>
      <c r="L40" s="20">
        <v>0</v>
      </c>
      <c r="M40" s="20">
        <v>0</v>
      </c>
      <c r="N40" s="19">
        <v>0</v>
      </c>
      <c r="O40" s="20">
        <v>4431932</v>
      </c>
    </row>
    <row r="41" spans="2:15">
      <c r="B41">
        <v>37</v>
      </c>
      <c r="C41" s="15">
        <v>106111</v>
      </c>
      <c r="D41" s="16">
        <v>21.94</v>
      </c>
      <c r="E41" s="17">
        <v>2328259</v>
      </c>
      <c r="F41" s="15">
        <v>3000</v>
      </c>
      <c r="G41" s="15">
        <v>66392</v>
      </c>
      <c r="H41" s="16">
        <v>32.65</v>
      </c>
      <c r="I41" s="17">
        <v>2168005</v>
      </c>
      <c r="J41" s="15">
        <v>2110</v>
      </c>
      <c r="K41" s="15">
        <v>0</v>
      </c>
      <c r="L41" s="16">
        <v>0</v>
      </c>
      <c r="M41" s="17">
        <v>0</v>
      </c>
      <c r="N41" s="15">
        <v>0</v>
      </c>
      <c r="O41" s="17">
        <v>4496265</v>
      </c>
    </row>
    <row r="42" spans="2:15">
      <c r="B42" s="18">
        <v>38</v>
      </c>
      <c r="C42" s="19">
        <v>106289</v>
      </c>
      <c r="D42" s="20">
        <v>21.92</v>
      </c>
      <c r="E42" s="20">
        <v>2330212</v>
      </c>
      <c r="F42" s="19">
        <v>3000</v>
      </c>
      <c r="G42" s="19">
        <v>68099</v>
      </c>
      <c r="H42" s="20">
        <v>32.57</v>
      </c>
      <c r="I42" s="20">
        <v>2218112</v>
      </c>
      <c r="J42" s="19">
        <v>2159</v>
      </c>
      <c r="K42" s="19">
        <v>0</v>
      </c>
      <c r="L42" s="20">
        <v>0</v>
      </c>
      <c r="M42" s="20">
        <v>0</v>
      </c>
      <c r="N42" s="19">
        <v>0</v>
      </c>
      <c r="O42" s="20">
        <v>4548324</v>
      </c>
    </row>
    <row r="43" spans="2:15">
      <c r="B43">
        <v>39</v>
      </c>
      <c r="C43" s="15">
        <v>106467</v>
      </c>
      <c r="D43" s="16">
        <v>21.9</v>
      </c>
      <c r="E43" s="17">
        <v>2332150</v>
      </c>
      <c r="F43" s="15">
        <v>3000</v>
      </c>
      <c r="G43" s="15">
        <v>69488</v>
      </c>
      <c r="H43" s="16">
        <v>32.49</v>
      </c>
      <c r="I43" s="17">
        <v>2257614</v>
      </c>
      <c r="J43" s="15">
        <v>2197</v>
      </c>
      <c r="K43" s="15">
        <v>0</v>
      </c>
      <c r="L43" s="16">
        <v>0</v>
      </c>
      <c r="M43" s="17">
        <v>0</v>
      </c>
      <c r="N43" s="15">
        <v>0</v>
      </c>
      <c r="O43" s="17">
        <v>4589764</v>
      </c>
    </row>
    <row r="44" spans="2:15">
      <c r="B44" s="18">
        <v>40</v>
      </c>
      <c r="C44" s="19">
        <v>106644</v>
      </c>
      <c r="D44" s="20">
        <v>21.89</v>
      </c>
      <c r="E44" s="20">
        <v>2334077</v>
      </c>
      <c r="F44" s="19">
        <v>3000</v>
      </c>
      <c r="G44" s="19">
        <v>70607</v>
      </c>
      <c r="H44" s="20">
        <v>32.41</v>
      </c>
      <c r="I44" s="20">
        <v>2288146</v>
      </c>
      <c r="J44" s="19">
        <v>2227</v>
      </c>
      <c r="K44" s="19">
        <v>0</v>
      </c>
      <c r="L44" s="20">
        <v>0</v>
      </c>
      <c r="M44" s="20">
        <v>0</v>
      </c>
      <c r="N44" s="19">
        <v>0</v>
      </c>
      <c r="O44" s="20">
        <v>4622223</v>
      </c>
    </row>
    <row r="45" spans="2:15">
      <c r="B45">
        <v>41</v>
      </c>
      <c r="C45" s="15">
        <v>106821</v>
      </c>
      <c r="D45" s="16">
        <v>21.87</v>
      </c>
      <c r="E45" s="17">
        <v>2335997</v>
      </c>
      <c r="F45" s="15">
        <v>3000</v>
      </c>
      <c r="G45" s="15">
        <v>71500</v>
      </c>
      <c r="H45" s="16">
        <v>32.32</v>
      </c>
      <c r="I45" s="17">
        <v>2311228</v>
      </c>
      <c r="J45" s="15">
        <v>2250</v>
      </c>
      <c r="K45" s="15">
        <v>0</v>
      </c>
      <c r="L45" s="16">
        <v>0</v>
      </c>
      <c r="M45" s="17">
        <v>0</v>
      </c>
      <c r="N45" s="15">
        <v>0</v>
      </c>
      <c r="O45" s="17">
        <v>4647225</v>
      </c>
    </row>
    <row r="46" spans="2:15">
      <c r="B46" s="18">
        <v>42</v>
      </c>
      <c r="C46" s="19">
        <v>106998</v>
      </c>
      <c r="D46" s="20">
        <v>21.85</v>
      </c>
      <c r="E46" s="20">
        <v>2337913</v>
      </c>
      <c r="F46" s="19">
        <v>3000</v>
      </c>
      <c r="G46" s="19">
        <v>72209</v>
      </c>
      <c r="H46" s="20">
        <v>32.24</v>
      </c>
      <c r="I46" s="20">
        <v>2328211</v>
      </c>
      <c r="J46" s="19">
        <v>2266</v>
      </c>
      <c r="K46" s="19">
        <v>727</v>
      </c>
      <c r="L46" s="20">
        <v>140</v>
      </c>
      <c r="M46" s="20">
        <v>101723</v>
      </c>
      <c r="N46" s="19">
        <v>220</v>
      </c>
      <c r="O46" s="20">
        <v>4767846</v>
      </c>
    </row>
    <row r="47" spans="2:15">
      <c r="B47">
        <v>43</v>
      </c>
      <c r="C47" s="15">
        <v>107175</v>
      </c>
      <c r="D47" s="16">
        <v>21.83</v>
      </c>
      <c r="E47" s="17">
        <v>2339825</v>
      </c>
      <c r="F47" s="15">
        <v>3000</v>
      </c>
      <c r="G47" s="15">
        <v>72767</v>
      </c>
      <c r="H47" s="16">
        <v>32.16</v>
      </c>
      <c r="I47" s="17">
        <v>2340259</v>
      </c>
      <c r="J47" s="15">
        <v>2278</v>
      </c>
      <c r="K47" s="15">
        <v>877</v>
      </c>
      <c r="L47" s="16">
        <v>140</v>
      </c>
      <c r="M47" s="17">
        <v>122795</v>
      </c>
      <c r="N47" s="15">
        <v>265</v>
      </c>
      <c r="O47" s="17">
        <v>4802879</v>
      </c>
    </row>
    <row r="48" spans="2:15">
      <c r="B48" s="18">
        <v>44</v>
      </c>
      <c r="C48" s="19">
        <v>107353</v>
      </c>
      <c r="D48" s="20">
        <v>21.81</v>
      </c>
      <c r="E48" s="20">
        <v>2341735</v>
      </c>
      <c r="F48" s="19">
        <v>3000</v>
      </c>
      <c r="G48" s="19">
        <v>73204</v>
      </c>
      <c r="H48" s="20">
        <v>32.08</v>
      </c>
      <c r="I48" s="20">
        <v>2348348</v>
      </c>
      <c r="J48" s="19">
        <v>2286</v>
      </c>
      <c r="K48" s="19">
        <v>1056</v>
      </c>
      <c r="L48" s="20">
        <v>140</v>
      </c>
      <c r="M48" s="20">
        <v>147817</v>
      </c>
      <c r="N48" s="19">
        <v>317</v>
      </c>
      <c r="O48" s="20">
        <v>4837900</v>
      </c>
    </row>
    <row r="49" spans="2:15">
      <c r="B49">
        <v>45</v>
      </c>
      <c r="C49" s="15">
        <v>107530</v>
      </c>
      <c r="D49" s="16">
        <v>21.8</v>
      </c>
      <c r="E49" s="17">
        <v>2343645</v>
      </c>
      <c r="F49" s="15">
        <v>3000</v>
      </c>
      <c r="G49" s="15">
        <v>73544</v>
      </c>
      <c r="H49" s="16">
        <v>32</v>
      </c>
      <c r="I49" s="17">
        <v>2353283</v>
      </c>
      <c r="J49" s="15">
        <v>2291</v>
      </c>
      <c r="K49" s="15">
        <v>1267</v>
      </c>
      <c r="L49" s="16">
        <v>140</v>
      </c>
      <c r="M49" s="17">
        <v>177346</v>
      </c>
      <c r="N49" s="15">
        <v>379</v>
      </c>
      <c r="O49" s="17">
        <v>4874274</v>
      </c>
    </row>
    <row r="50" spans="2:15">
      <c r="B50" s="18">
        <v>46</v>
      </c>
      <c r="C50" s="19">
        <v>107708</v>
      </c>
      <c r="D50" s="20">
        <v>21.78</v>
      </c>
      <c r="E50" s="20">
        <v>2345555</v>
      </c>
      <c r="F50" s="19">
        <v>3000</v>
      </c>
      <c r="G50" s="19">
        <v>73808</v>
      </c>
      <c r="H50" s="20">
        <v>31.92</v>
      </c>
      <c r="I50" s="20">
        <v>2355721</v>
      </c>
      <c r="J50" s="19">
        <v>2294</v>
      </c>
      <c r="K50" s="19">
        <v>1514</v>
      </c>
      <c r="L50" s="20">
        <v>140</v>
      </c>
      <c r="M50" s="20">
        <v>211946</v>
      </c>
      <c r="N50" s="19">
        <v>451</v>
      </c>
      <c r="O50" s="20">
        <v>4913222</v>
      </c>
    </row>
    <row r="51" spans="2:15">
      <c r="B51">
        <v>47</v>
      </c>
      <c r="C51" s="15">
        <v>107886</v>
      </c>
      <c r="D51" s="16">
        <v>21.76</v>
      </c>
      <c r="E51" s="17">
        <v>2347465</v>
      </c>
      <c r="F51" s="15">
        <v>3000</v>
      </c>
      <c r="G51" s="15">
        <v>74010</v>
      </c>
      <c r="H51" s="16">
        <v>31.84</v>
      </c>
      <c r="I51" s="17">
        <v>2356189</v>
      </c>
      <c r="J51" s="15">
        <v>2295</v>
      </c>
      <c r="K51" s="15">
        <v>1801</v>
      </c>
      <c r="L51" s="16">
        <v>140</v>
      </c>
      <c r="M51" s="17">
        <v>252150</v>
      </c>
      <c r="N51" s="15">
        <v>534</v>
      </c>
      <c r="O51" s="17">
        <v>4955804</v>
      </c>
    </row>
    <row r="52" spans="2:15">
      <c r="B52" s="18">
        <v>48</v>
      </c>
      <c r="C52" s="19">
        <v>108064</v>
      </c>
      <c r="D52" s="20">
        <v>21.74</v>
      </c>
      <c r="E52" s="20">
        <v>2349375</v>
      </c>
      <c r="F52" s="19">
        <v>3000</v>
      </c>
      <c r="G52" s="19">
        <v>74164</v>
      </c>
      <c r="H52" s="20">
        <v>31.76</v>
      </c>
      <c r="I52" s="20">
        <v>2355109</v>
      </c>
      <c r="J52" s="19">
        <v>2294</v>
      </c>
      <c r="K52" s="19">
        <v>2132</v>
      </c>
      <c r="L52" s="20">
        <v>119</v>
      </c>
      <c r="M52" s="20">
        <v>253652</v>
      </c>
      <c r="N52" s="19">
        <v>629</v>
      </c>
      <c r="O52" s="20">
        <v>4958137</v>
      </c>
    </row>
    <row r="53" spans="2:15">
      <c r="B53">
        <v>49</v>
      </c>
      <c r="C53" s="15">
        <v>108243</v>
      </c>
      <c r="D53" s="16">
        <v>21.72</v>
      </c>
      <c r="E53" s="17">
        <v>2351287</v>
      </c>
      <c r="F53" s="15">
        <v>3000</v>
      </c>
      <c r="G53" s="15">
        <v>74280</v>
      </c>
      <c r="H53" s="16">
        <v>31.67</v>
      </c>
      <c r="I53" s="17">
        <v>2352816</v>
      </c>
      <c r="J53" s="15">
        <v>2292</v>
      </c>
      <c r="K53" s="15">
        <v>2508</v>
      </c>
      <c r="L53" s="16">
        <v>118.8</v>
      </c>
      <c r="M53" s="17">
        <v>297902</v>
      </c>
      <c r="N53" s="15">
        <v>736</v>
      </c>
      <c r="O53" s="17">
        <v>5002005</v>
      </c>
    </row>
    <row r="54" spans="2:15">
      <c r="B54" s="18">
        <v>50</v>
      </c>
      <c r="C54" s="19">
        <v>108422</v>
      </c>
      <c r="D54" s="20">
        <v>21.7</v>
      </c>
      <c r="E54" s="20">
        <v>2353200</v>
      </c>
      <c r="F54" s="19">
        <v>3000</v>
      </c>
      <c r="G54" s="19">
        <v>74366</v>
      </c>
      <c r="H54" s="20">
        <v>31.59</v>
      </c>
      <c r="I54" s="20">
        <v>2349574</v>
      </c>
      <c r="J54" s="19">
        <v>2289</v>
      </c>
      <c r="K54" s="19">
        <v>2930</v>
      </c>
      <c r="L54" s="20">
        <v>118.6</v>
      </c>
      <c r="M54" s="20">
        <v>347521</v>
      </c>
      <c r="N54" s="19">
        <v>857</v>
      </c>
      <c r="O54" s="20">
        <v>5050295</v>
      </c>
    </row>
    <row r="55" spans="2:15">
      <c r="B55">
        <v>51</v>
      </c>
      <c r="C55" s="15">
        <v>108601</v>
      </c>
      <c r="D55" s="16">
        <v>21.69</v>
      </c>
      <c r="E55" s="17">
        <v>2355114</v>
      </c>
      <c r="F55" s="15">
        <v>3000</v>
      </c>
      <c r="G55" s="15">
        <v>74429</v>
      </c>
      <c r="H55" s="16">
        <v>31.51</v>
      </c>
      <c r="I55" s="17">
        <v>2345590</v>
      </c>
      <c r="J55" s="15">
        <v>2285</v>
      </c>
      <c r="K55" s="15">
        <v>3398</v>
      </c>
      <c r="L55" s="16">
        <v>118.4</v>
      </c>
      <c r="M55" s="17">
        <v>402376</v>
      </c>
      <c r="N55" s="15">
        <v>989</v>
      </c>
      <c r="O55" s="17">
        <v>5103080</v>
      </c>
    </row>
    <row r="56" spans="2:15">
      <c r="B56" s="18">
        <v>52</v>
      </c>
      <c r="C56" s="19">
        <v>108780</v>
      </c>
      <c r="D56" s="20">
        <v>21.67</v>
      </c>
      <c r="E56" s="20">
        <v>2357029</v>
      </c>
      <c r="F56" s="19">
        <v>3000</v>
      </c>
      <c r="G56" s="19">
        <v>74473</v>
      </c>
      <c r="H56" s="20">
        <v>31.43</v>
      </c>
      <c r="I56" s="20">
        <v>2341029</v>
      </c>
      <c r="J56" s="19">
        <v>2281</v>
      </c>
      <c r="K56" s="19">
        <v>3909</v>
      </c>
      <c r="L56" s="20">
        <v>118.2</v>
      </c>
      <c r="M56" s="20">
        <v>462077</v>
      </c>
      <c r="N56" s="19">
        <v>1132</v>
      </c>
      <c r="O56" s="20">
        <v>5160135</v>
      </c>
    </row>
    <row r="57" spans="2:15">
      <c r="B57">
        <v>53</v>
      </c>
      <c r="C57" s="15">
        <v>108960</v>
      </c>
      <c r="D57" s="16">
        <v>21.65</v>
      </c>
      <c r="E57" s="17">
        <v>2358946</v>
      </c>
      <c r="F57" s="15">
        <v>3000</v>
      </c>
      <c r="G57" s="15">
        <v>74502</v>
      </c>
      <c r="H57" s="16">
        <v>31.35</v>
      </c>
      <c r="I57" s="17">
        <v>2336017</v>
      </c>
      <c r="J57" s="15">
        <v>2276</v>
      </c>
      <c r="K57" s="15">
        <v>4457</v>
      </c>
      <c r="L57" s="16">
        <v>118</v>
      </c>
      <c r="M57" s="17">
        <v>525951</v>
      </c>
      <c r="N57" s="15">
        <v>1285</v>
      </c>
      <c r="O57" s="17">
        <v>5220914</v>
      </c>
    </row>
    <row r="58" spans="2:15">
      <c r="B58" s="18">
        <v>54</v>
      </c>
      <c r="C58" s="19">
        <v>109140</v>
      </c>
      <c r="D58" s="20">
        <v>21.63</v>
      </c>
      <c r="E58" s="20">
        <v>2360864</v>
      </c>
      <c r="F58" s="19">
        <v>3000</v>
      </c>
      <c r="G58" s="19">
        <v>74520</v>
      </c>
      <c r="H58" s="20">
        <v>31.28</v>
      </c>
      <c r="I58" s="20">
        <v>2330655</v>
      </c>
      <c r="J58" s="19">
        <v>2271</v>
      </c>
      <c r="K58" s="19">
        <v>5034</v>
      </c>
      <c r="L58" s="20">
        <v>117.8</v>
      </c>
      <c r="M58" s="20">
        <v>593058</v>
      </c>
      <c r="N58" s="19">
        <v>1445</v>
      </c>
      <c r="O58" s="20">
        <v>5284577</v>
      </c>
    </row>
    <row r="59" spans="2:15">
      <c r="B59">
        <v>55</v>
      </c>
      <c r="C59" s="15">
        <v>109320</v>
      </c>
      <c r="D59" s="16">
        <v>21.61</v>
      </c>
      <c r="E59" s="17">
        <v>2362784</v>
      </c>
      <c r="F59" s="15">
        <v>3000</v>
      </c>
      <c r="G59" s="15">
        <v>74529</v>
      </c>
      <c r="H59" s="16">
        <v>31.2</v>
      </c>
      <c r="I59" s="17">
        <v>2325020</v>
      </c>
      <c r="J59" s="15">
        <v>2266</v>
      </c>
      <c r="K59" s="15">
        <v>5631</v>
      </c>
      <c r="L59" s="16">
        <v>117.61</v>
      </c>
      <c r="M59" s="17">
        <v>662226</v>
      </c>
      <c r="N59" s="15">
        <v>1609</v>
      </c>
      <c r="O59" s="17">
        <v>5350030</v>
      </c>
    </row>
    <row r="60" spans="2:15">
      <c r="B60" s="18">
        <v>56</v>
      </c>
      <c r="C60" s="19">
        <v>109501</v>
      </c>
      <c r="D60" s="20">
        <v>21.6</v>
      </c>
      <c r="E60" s="20">
        <v>2364705</v>
      </c>
      <c r="F60" s="19">
        <v>3000</v>
      </c>
      <c r="G60" s="19">
        <v>74531</v>
      </c>
      <c r="H60" s="20">
        <v>31.12</v>
      </c>
      <c r="I60" s="20">
        <v>2319174</v>
      </c>
      <c r="J60" s="19">
        <v>2260</v>
      </c>
      <c r="K60" s="19">
        <v>6236</v>
      </c>
      <c r="L60" s="20">
        <v>117.41</v>
      </c>
      <c r="M60" s="20">
        <v>732128</v>
      </c>
      <c r="N60" s="19">
        <v>1773</v>
      </c>
      <c r="O60" s="20">
        <v>5416006</v>
      </c>
    </row>
    <row r="61" spans="2:15">
      <c r="B61">
        <v>57</v>
      </c>
      <c r="C61" s="15">
        <v>109682</v>
      </c>
      <c r="D61" s="16">
        <v>21.58</v>
      </c>
      <c r="E61" s="17">
        <v>2366628</v>
      </c>
      <c r="F61" s="15">
        <v>3000</v>
      </c>
      <c r="G61" s="15">
        <v>74526</v>
      </c>
      <c r="H61" s="16">
        <v>31.04</v>
      </c>
      <c r="I61" s="17">
        <v>2313163</v>
      </c>
      <c r="J61" s="15">
        <v>2254</v>
      </c>
      <c r="K61" s="15">
        <v>6837</v>
      </c>
      <c r="L61" s="16">
        <v>117.21</v>
      </c>
      <c r="M61" s="17">
        <v>801382</v>
      </c>
      <c r="N61" s="15">
        <v>1935</v>
      </c>
      <c r="O61" s="17">
        <v>5481173</v>
      </c>
    </row>
    <row r="62" spans="2:15">
      <c r="B62" s="18">
        <v>58</v>
      </c>
      <c r="C62" s="19">
        <v>109863</v>
      </c>
      <c r="D62" s="20">
        <v>21.56</v>
      </c>
      <c r="E62" s="20">
        <v>2368552</v>
      </c>
      <c r="F62" s="19">
        <v>3000</v>
      </c>
      <c r="G62" s="19">
        <v>74518</v>
      </c>
      <c r="H62" s="20">
        <v>30.96</v>
      </c>
      <c r="I62" s="20">
        <v>2307025</v>
      </c>
      <c r="J62" s="19">
        <v>2248</v>
      </c>
      <c r="K62" s="19">
        <v>7424</v>
      </c>
      <c r="L62" s="20">
        <v>117.01</v>
      </c>
      <c r="M62" s="20">
        <v>868660</v>
      </c>
      <c r="N62" s="19">
        <v>2091</v>
      </c>
      <c r="O62" s="20">
        <v>5544236</v>
      </c>
    </row>
    <row r="63" spans="2:15">
      <c r="B63">
        <v>59</v>
      </c>
      <c r="C63" s="15">
        <v>110044</v>
      </c>
      <c r="D63" s="16">
        <v>21.54</v>
      </c>
      <c r="E63" s="17">
        <v>2370477</v>
      </c>
      <c r="F63" s="15">
        <v>3000</v>
      </c>
      <c r="G63" s="15">
        <v>74505</v>
      </c>
      <c r="H63" s="16">
        <v>30.88</v>
      </c>
      <c r="I63" s="17">
        <v>2300787</v>
      </c>
      <c r="J63" s="15">
        <v>2243</v>
      </c>
      <c r="K63" s="15">
        <v>7985</v>
      </c>
      <c r="L63" s="16">
        <v>116.82</v>
      </c>
      <c r="M63" s="17">
        <v>932782</v>
      </c>
      <c r="N63" s="15">
        <v>2239</v>
      </c>
      <c r="O63" s="17">
        <v>5604046</v>
      </c>
    </row>
    <row r="64" spans="2:15">
      <c r="B64" s="18">
        <v>60</v>
      </c>
      <c r="C64" s="19">
        <v>110226</v>
      </c>
      <c r="D64" s="20">
        <v>21.52</v>
      </c>
      <c r="E64" s="20">
        <v>2372405</v>
      </c>
      <c r="F64" s="19">
        <v>3000</v>
      </c>
      <c r="G64" s="19">
        <v>74489</v>
      </c>
      <c r="H64" s="20">
        <v>30.8</v>
      </c>
      <c r="I64" s="20">
        <v>2294473</v>
      </c>
      <c r="J64" s="19">
        <v>2237</v>
      </c>
      <c r="K64" s="19">
        <v>8513</v>
      </c>
      <c r="L64" s="20">
        <v>116.62</v>
      </c>
      <c r="M64" s="20">
        <v>992796</v>
      </c>
      <c r="N64" s="19">
        <v>2376</v>
      </c>
      <c r="O64" s="20">
        <v>5659673</v>
      </c>
    </row>
    <row r="65" spans="2:15">
      <c r="B65">
        <v>61</v>
      </c>
      <c r="C65" s="15">
        <v>110408</v>
      </c>
      <c r="D65" s="16">
        <v>21.51</v>
      </c>
      <c r="E65" s="17">
        <v>2374334</v>
      </c>
      <c r="F65" s="15">
        <v>3000</v>
      </c>
      <c r="G65" s="15">
        <v>74471</v>
      </c>
      <c r="H65" s="16">
        <v>30.72</v>
      </c>
      <c r="I65" s="17">
        <v>2288100</v>
      </c>
      <c r="J65" s="15">
        <v>2231</v>
      </c>
      <c r="K65" s="15">
        <v>9002</v>
      </c>
      <c r="L65" s="16">
        <v>116.42</v>
      </c>
      <c r="M65" s="17">
        <v>1048020</v>
      </c>
      <c r="N65" s="15">
        <v>2501</v>
      </c>
      <c r="O65" s="17">
        <v>5710453</v>
      </c>
    </row>
    <row r="66" spans="2:15">
      <c r="B66" s="18">
        <v>62</v>
      </c>
      <c r="C66" s="19">
        <v>110590</v>
      </c>
      <c r="D66" s="20">
        <v>21.49</v>
      </c>
      <c r="E66" s="20">
        <v>2376264</v>
      </c>
      <c r="F66" s="19">
        <v>3000</v>
      </c>
      <c r="G66" s="19">
        <v>74451</v>
      </c>
      <c r="H66" s="20">
        <v>30.65</v>
      </c>
      <c r="I66" s="20">
        <v>2281680</v>
      </c>
      <c r="J66" s="19">
        <v>2224</v>
      </c>
      <c r="K66" s="19">
        <v>9447</v>
      </c>
      <c r="L66" s="20">
        <v>116.23</v>
      </c>
      <c r="M66" s="20">
        <v>1098052</v>
      </c>
      <c r="N66" s="19">
        <v>2613</v>
      </c>
      <c r="O66" s="20">
        <v>5755996</v>
      </c>
    </row>
    <row r="67" spans="2:15">
      <c r="B67">
        <v>63</v>
      </c>
      <c r="C67" s="15">
        <v>110773</v>
      </c>
      <c r="D67" s="16">
        <v>21.47</v>
      </c>
      <c r="E67" s="17">
        <v>2378196</v>
      </c>
      <c r="F67" s="15">
        <v>3000</v>
      </c>
      <c r="G67" s="15">
        <v>74429</v>
      </c>
      <c r="H67" s="16">
        <v>30.57</v>
      </c>
      <c r="I67" s="17">
        <v>2275225</v>
      </c>
      <c r="J67" s="15">
        <v>2218</v>
      </c>
      <c r="K67" s="15">
        <v>9848</v>
      </c>
      <c r="L67" s="16">
        <v>116.03</v>
      </c>
      <c r="M67" s="17">
        <v>1142746</v>
      </c>
      <c r="N67" s="15">
        <v>2711</v>
      </c>
      <c r="O67" s="17">
        <v>5796167</v>
      </c>
    </row>
    <row r="68" spans="2:15">
      <c r="B68" s="18">
        <v>64</v>
      </c>
      <c r="C68" s="19">
        <v>110956</v>
      </c>
      <c r="D68" s="20">
        <v>21.45</v>
      </c>
      <c r="E68" s="20">
        <v>2380130</v>
      </c>
      <c r="F68" s="19">
        <v>3000</v>
      </c>
      <c r="G68" s="19">
        <v>74406</v>
      </c>
      <c r="H68" s="20">
        <v>30.49</v>
      </c>
      <c r="I68" s="20">
        <v>2268743</v>
      </c>
      <c r="J68" s="19">
        <v>2212</v>
      </c>
      <c r="K68" s="19">
        <v>10205</v>
      </c>
      <c r="L68" s="20">
        <v>115.84</v>
      </c>
      <c r="M68" s="20">
        <v>1182174</v>
      </c>
      <c r="N68" s="19">
        <v>2797</v>
      </c>
      <c r="O68" s="20">
        <v>5831046</v>
      </c>
    </row>
    <row r="69" spans="2:15">
      <c r="B69">
        <v>65</v>
      </c>
      <c r="C69" s="15">
        <v>111139</v>
      </c>
      <c r="D69" s="16">
        <v>21.43</v>
      </c>
      <c r="E69" s="17">
        <v>2382065</v>
      </c>
      <c r="F69" s="15">
        <v>3000</v>
      </c>
      <c r="G69" s="15">
        <v>74381</v>
      </c>
      <c r="H69" s="16">
        <v>30.41</v>
      </c>
      <c r="I69" s="17">
        <v>2262240</v>
      </c>
      <c r="J69" s="15">
        <v>2206</v>
      </c>
      <c r="K69" s="15">
        <v>10520</v>
      </c>
      <c r="L69" s="16">
        <v>115.64</v>
      </c>
      <c r="M69" s="17">
        <v>1216577</v>
      </c>
      <c r="N69" s="15">
        <v>2870</v>
      </c>
      <c r="O69" s="17">
        <v>5860882</v>
      </c>
    </row>
    <row r="70" spans="2:15">
      <c r="B70" s="18">
        <v>66</v>
      </c>
      <c r="C70" s="19">
        <v>111323</v>
      </c>
      <c r="D70" s="20">
        <v>21.42</v>
      </c>
      <c r="E70" s="20">
        <v>2384001</v>
      </c>
      <c r="F70" s="19">
        <v>3000</v>
      </c>
      <c r="G70" s="19">
        <v>74355</v>
      </c>
      <c r="H70" s="20">
        <v>30.34</v>
      </c>
      <c r="I70" s="20">
        <v>2255720</v>
      </c>
      <c r="J70" s="19">
        <v>2200</v>
      </c>
      <c r="K70" s="19">
        <v>10795</v>
      </c>
      <c r="L70" s="20">
        <v>115.45</v>
      </c>
      <c r="M70" s="20">
        <v>1246312</v>
      </c>
      <c r="N70" s="19">
        <v>2931</v>
      </c>
      <c r="O70" s="20">
        <v>5886033</v>
      </c>
    </row>
    <row r="71" spans="2:15">
      <c r="B71">
        <v>67</v>
      </c>
      <c r="C71" s="15">
        <v>111507</v>
      </c>
      <c r="D71" s="16">
        <v>21.4</v>
      </c>
      <c r="E71" s="17">
        <v>2385940</v>
      </c>
      <c r="F71" s="15">
        <v>3000</v>
      </c>
      <c r="G71" s="15">
        <v>74328</v>
      </c>
      <c r="H71" s="16">
        <v>30.26</v>
      </c>
      <c r="I71" s="17">
        <v>2249189</v>
      </c>
      <c r="J71" s="15">
        <v>2194</v>
      </c>
      <c r="K71" s="15">
        <v>11035</v>
      </c>
      <c r="L71" s="16">
        <v>115.25</v>
      </c>
      <c r="M71" s="17">
        <v>1271803</v>
      </c>
      <c r="N71" s="15">
        <v>2982</v>
      </c>
      <c r="O71" s="17">
        <v>5906931</v>
      </c>
    </row>
    <row r="72" spans="2:15">
      <c r="B72" s="18">
        <v>68</v>
      </c>
      <c r="C72" s="19">
        <v>111691</v>
      </c>
      <c r="D72" s="20">
        <v>21.38</v>
      </c>
      <c r="E72" s="20">
        <v>2387879</v>
      </c>
      <c r="F72" s="19">
        <v>3000</v>
      </c>
      <c r="G72" s="19">
        <v>74300</v>
      </c>
      <c r="H72" s="20">
        <v>30.18</v>
      </c>
      <c r="I72" s="20">
        <v>2242648</v>
      </c>
      <c r="J72" s="19">
        <v>2187</v>
      </c>
      <c r="K72" s="19">
        <v>11242</v>
      </c>
      <c r="L72" s="20">
        <v>115.06</v>
      </c>
      <c r="M72" s="20">
        <v>1293507</v>
      </c>
      <c r="N72" s="19">
        <v>3024</v>
      </c>
      <c r="O72" s="20">
        <v>5924034</v>
      </c>
    </row>
    <row r="73" spans="2:15">
      <c r="B73">
        <v>69</v>
      </c>
      <c r="C73" s="15">
        <v>111875</v>
      </c>
      <c r="D73" s="16">
        <v>21.36</v>
      </c>
      <c r="E73" s="17">
        <v>2389821</v>
      </c>
      <c r="F73" s="15">
        <v>3000</v>
      </c>
      <c r="G73" s="15">
        <v>74272</v>
      </c>
      <c r="H73" s="16">
        <v>30.11</v>
      </c>
      <c r="I73" s="17">
        <v>2236100</v>
      </c>
      <c r="J73" s="15">
        <v>2181</v>
      </c>
      <c r="K73" s="15">
        <v>11421</v>
      </c>
      <c r="L73" s="16">
        <v>114.87</v>
      </c>
      <c r="M73" s="17">
        <v>1311881</v>
      </c>
      <c r="N73" s="15">
        <v>3058</v>
      </c>
      <c r="O73" s="17">
        <v>5937801</v>
      </c>
    </row>
    <row r="74" spans="2:15">
      <c r="B74" s="18">
        <v>70</v>
      </c>
      <c r="C74" s="19">
        <v>112060</v>
      </c>
      <c r="D74" s="20">
        <v>21.34</v>
      </c>
      <c r="E74" s="20">
        <v>2391764</v>
      </c>
      <c r="F74" s="19">
        <v>3000</v>
      </c>
      <c r="G74" s="19">
        <v>74242</v>
      </c>
      <c r="H74" s="20">
        <v>30.03</v>
      </c>
      <c r="I74" s="20">
        <v>2229547</v>
      </c>
      <c r="J74" s="19">
        <v>2175</v>
      </c>
      <c r="K74" s="19">
        <v>11575</v>
      </c>
      <c r="L74" s="20">
        <v>114.67</v>
      </c>
      <c r="M74" s="20">
        <v>1327363</v>
      </c>
      <c r="N74" s="19">
        <v>3085</v>
      </c>
      <c r="O74" s="20">
        <v>5948673</v>
      </c>
    </row>
    <row r="75" spans="2:15">
      <c r="B75">
        <v>71</v>
      </c>
      <c r="C75" s="15">
        <v>112245</v>
      </c>
      <c r="D75" s="16">
        <v>21.33</v>
      </c>
      <c r="E75" s="17">
        <v>2393708</v>
      </c>
      <c r="F75" s="15">
        <v>3000</v>
      </c>
      <c r="G75" s="15">
        <v>74212</v>
      </c>
      <c r="H75" s="16">
        <v>29.95</v>
      </c>
      <c r="I75" s="17">
        <v>2222990</v>
      </c>
      <c r="J75" s="15">
        <v>2169</v>
      </c>
      <c r="K75" s="15">
        <v>11708</v>
      </c>
      <c r="L75" s="16">
        <v>114.48</v>
      </c>
      <c r="M75" s="17">
        <v>1340358</v>
      </c>
      <c r="N75" s="15">
        <v>3106</v>
      </c>
      <c r="O75" s="17">
        <v>5957056</v>
      </c>
    </row>
    <row r="76" spans="2:15">
      <c r="B76" s="18">
        <v>72</v>
      </c>
      <c r="C76" s="19">
        <v>112431</v>
      </c>
      <c r="D76" s="20">
        <v>21.31</v>
      </c>
      <c r="E76" s="20">
        <v>2395654</v>
      </c>
      <c r="F76" s="19">
        <v>3000</v>
      </c>
      <c r="G76" s="19">
        <v>74181</v>
      </c>
      <c r="H76" s="20">
        <v>29.88</v>
      </c>
      <c r="I76" s="20">
        <v>2216430</v>
      </c>
      <c r="J76" s="19">
        <v>2162</v>
      </c>
      <c r="K76" s="19">
        <v>11823</v>
      </c>
      <c r="L76" s="20">
        <v>114.29</v>
      </c>
      <c r="M76" s="20">
        <v>1351234</v>
      </c>
      <c r="N76" s="19">
        <v>3122</v>
      </c>
      <c r="O76" s="20">
        <v>5963319</v>
      </c>
    </row>
    <row r="77" spans="2:15">
      <c r="B77">
        <v>73</v>
      </c>
      <c r="C77" s="15">
        <v>112616</v>
      </c>
      <c r="D77" s="16">
        <v>21.29</v>
      </c>
      <c r="E77" s="17">
        <v>2397602</v>
      </c>
      <c r="F77" s="15">
        <v>3000</v>
      </c>
      <c r="G77" s="15">
        <v>74149</v>
      </c>
      <c r="H77" s="16">
        <v>29.8</v>
      </c>
      <c r="I77" s="17">
        <v>2209868</v>
      </c>
      <c r="J77" s="15">
        <v>2156</v>
      </c>
      <c r="K77" s="15">
        <v>11923</v>
      </c>
      <c r="L77" s="16">
        <v>114.1</v>
      </c>
      <c r="M77" s="17">
        <v>1360316</v>
      </c>
      <c r="N77" s="15">
        <v>3134</v>
      </c>
      <c r="O77" s="17">
        <v>5967787</v>
      </c>
    </row>
    <row r="78" spans="2:15">
      <c r="B78" s="18">
        <v>74</v>
      </c>
      <c r="C78" s="19">
        <v>112802</v>
      </c>
      <c r="D78" s="20">
        <v>21.27</v>
      </c>
      <c r="E78" s="20">
        <v>2399551</v>
      </c>
      <c r="F78" s="19">
        <v>3000</v>
      </c>
      <c r="G78" s="19">
        <v>74117</v>
      </c>
      <c r="H78" s="20">
        <v>29.73</v>
      </c>
      <c r="I78" s="20">
        <v>2203305</v>
      </c>
      <c r="J78" s="19">
        <v>2150</v>
      </c>
      <c r="K78" s="19">
        <v>12009</v>
      </c>
      <c r="L78" s="20">
        <v>113.9</v>
      </c>
      <c r="M78" s="20">
        <v>1367887</v>
      </c>
      <c r="N78" s="19">
        <v>3142</v>
      </c>
      <c r="O78" s="20">
        <v>5970743</v>
      </c>
    </row>
    <row r="79" spans="2:15">
      <c r="B79">
        <v>75</v>
      </c>
      <c r="C79" s="15">
        <v>112989</v>
      </c>
      <c r="D79" s="16">
        <v>21.25</v>
      </c>
      <c r="E79" s="17">
        <v>2401502</v>
      </c>
      <c r="F79" s="15">
        <v>3000</v>
      </c>
      <c r="G79" s="15">
        <v>74084</v>
      </c>
      <c r="H79" s="16">
        <v>29.65</v>
      </c>
      <c r="I79" s="17">
        <v>2196742</v>
      </c>
      <c r="J79" s="15">
        <v>2144</v>
      </c>
      <c r="K79" s="15">
        <v>12085</v>
      </c>
      <c r="L79" s="16">
        <v>113.71</v>
      </c>
      <c r="M79" s="17">
        <v>1374191</v>
      </c>
      <c r="N79" s="15">
        <v>3148</v>
      </c>
      <c r="O79" s="17">
        <v>5972435</v>
      </c>
    </row>
    <row r="80" spans="2:15">
      <c r="B80" s="18">
        <v>76</v>
      </c>
      <c r="C80" s="19">
        <v>113175</v>
      </c>
      <c r="D80" s="20">
        <v>21.24</v>
      </c>
      <c r="E80" s="20">
        <v>2403455</v>
      </c>
      <c r="F80" s="19">
        <v>3000</v>
      </c>
      <c r="G80" s="19">
        <v>74051</v>
      </c>
      <c r="H80" s="20">
        <v>29.58</v>
      </c>
      <c r="I80" s="20">
        <v>2190177</v>
      </c>
      <c r="J80" s="19">
        <v>2137</v>
      </c>
      <c r="K80" s="19">
        <v>12151</v>
      </c>
      <c r="L80" s="20">
        <v>113.52</v>
      </c>
      <c r="M80" s="20">
        <v>1379437</v>
      </c>
      <c r="N80" s="19">
        <v>3150</v>
      </c>
      <c r="O80" s="20">
        <v>5973069</v>
      </c>
    </row>
    <row r="81" spans="2:15">
      <c r="B81">
        <v>77</v>
      </c>
      <c r="C81" s="15">
        <v>113362</v>
      </c>
      <c r="D81" s="16">
        <v>21.22</v>
      </c>
      <c r="E81" s="17">
        <v>2405409</v>
      </c>
      <c r="F81" s="15">
        <v>3000</v>
      </c>
      <c r="G81" s="15">
        <v>74016</v>
      </c>
      <c r="H81" s="16">
        <v>29.5</v>
      </c>
      <c r="I81" s="17">
        <v>2183613</v>
      </c>
      <c r="J81" s="15">
        <v>2131</v>
      </c>
      <c r="K81" s="15">
        <v>12210</v>
      </c>
      <c r="L81" s="16">
        <v>113.33</v>
      </c>
      <c r="M81" s="17">
        <v>1383802</v>
      </c>
      <c r="N81" s="15">
        <v>3151</v>
      </c>
      <c r="O81" s="17">
        <v>5972824</v>
      </c>
    </row>
    <row r="82" spans="2:15">
      <c r="B82" s="18">
        <v>78</v>
      </c>
      <c r="C82" s="19">
        <v>113549</v>
      </c>
      <c r="D82" s="20">
        <v>21.2</v>
      </c>
      <c r="E82" s="20">
        <v>2407365</v>
      </c>
      <c r="F82" s="19">
        <v>3000</v>
      </c>
      <c r="G82" s="19">
        <v>73981</v>
      </c>
      <c r="H82" s="20">
        <v>29.43</v>
      </c>
      <c r="I82" s="20">
        <v>2177049</v>
      </c>
      <c r="J82" s="19">
        <v>2125</v>
      </c>
      <c r="K82" s="19">
        <v>12263</v>
      </c>
      <c r="L82" s="20">
        <v>113.14</v>
      </c>
      <c r="M82" s="20">
        <v>1387435</v>
      </c>
      <c r="N82" s="19">
        <v>3150</v>
      </c>
      <c r="O82" s="20">
        <v>5971849</v>
      </c>
    </row>
    <row r="83" spans="2:15">
      <c r="B83">
        <v>79</v>
      </c>
      <c r="C83" s="15">
        <v>113737</v>
      </c>
      <c r="D83" s="16">
        <v>21.18</v>
      </c>
      <c r="E83" s="17">
        <v>2409322</v>
      </c>
      <c r="F83" s="15">
        <v>3000</v>
      </c>
      <c r="G83" s="15">
        <v>73946</v>
      </c>
      <c r="H83" s="16">
        <v>29.35</v>
      </c>
      <c r="I83" s="17">
        <v>2170485</v>
      </c>
      <c r="J83" s="15">
        <v>2119</v>
      </c>
      <c r="K83" s="15">
        <v>12311</v>
      </c>
      <c r="L83" s="16">
        <v>112.95</v>
      </c>
      <c r="M83" s="17">
        <v>1390461</v>
      </c>
      <c r="N83" s="15">
        <v>3148</v>
      </c>
      <c r="O83" s="17">
        <v>5970268</v>
      </c>
    </row>
    <row r="84" spans="2:15">
      <c r="B84" s="18">
        <v>80</v>
      </c>
      <c r="C84" s="19">
        <v>113925</v>
      </c>
      <c r="D84" s="20">
        <v>21.17</v>
      </c>
      <c r="E84" s="20">
        <v>2411281</v>
      </c>
      <c r="F84" s="19">
        <v>3000</v>
      </c>
      <c r="G84" s="19">
        <v>73909</v>
      </c>
      <c r="H84" s="20">
        <v>29.28</v>
      </c>
      <c r="I84" s="20">
        <v>2163922</v>
      </c>
      <c r="J84" s="19">
        <v>2112</v>
      </c>
      <c r="K84" s="19">
        <v>12354</v>
      </c>
      <c r="L84" s="20">
        <v>112.76</v>
      </c>
      <c r="M84" s="20">
        <v>1392984</v>
      </c>
      <c r="N84" s="19">
        <v>3144</v>
      </c>
      <c r="O84" s="20">
        <v>5968186</v>
      </c>
    </row>
    <row r="85" spans="2:15">
      <c r="B85">
        <v>81</v>
      </c>
      <c r="C85" s="15">
        <v>114113</v>
      </c>
      <c r="D85" s="16">
        <v>21.15</v>
      </c>
      <c r="E85" s="17">
        <v>2413241</v>
      </c>
      <c r="F85" s="15">
        <v>3000</v>
      </c>
      <c r="G85" s="15">
        <v>73873</v>
      </c>
      <c r="H85" s="16">
        <v>29.2</v>
      </c>
      <c r="I85" s="17">
        <v>2157359</v>
      </c>
      <c r="J85" s="15">
        <v>2106</v>
      </c>
      <c r="K85" s="15">
        <v>12393</v>
      </c>
      <c r="L85" s="16">
        <v>112.57</v>
      </c>
      <c r="M85" s="17">
        <v>1395090</v>
      </c>
      <c r="N85" s="15">
        <v>3140</v>
      </c>
      <c r="O85" s="17">
        <v>5965690</v>
      </c>
    </row>
    <row r="86" spans="2:15">
      <c r="B86" s="18">
        <v>82</v>
      </c>
      <c r="C86" s="19">
        <v>114301</v>
      </c>
      <c r="D86" s="20">
        <v>21.13</v>
      </c>
      <c r="E86" s="20">
        <v>2415203</v>
      </c>
      <c r="F86" s="19">
        <v>3000</v>
      </c>
      <c r="G86" s="19">
        <v>73835</v>
      </c>
      <c r="H86" s="20">
        <v>29.13</v>
      </c>
      <c r="I86" s="20">
        <v>2150797</v>
      </c>
      <c r="J86" s="19">
        <v>2100</v>
      </c>
      <c r="K86" s="19">
        <v>12430</v>
      </c>
      <c r="L86" s="20">
        <v>112.38</v>
      </c>
      <c r="M86" s="20">
        <v>1396850</v>
      </c>
      <c r="N86" s="19">
        <v>3134</v>
      </c>
      <c r="O86" s="20">
        <v>5962850</v>
      </c>
    </row>
    <row r="87" spans="2:15">
      <c r="B87">
        <v>83</v>
      </c>
      <c r="C87" s="15">
        <v>114490</v>
      </c>
      <c r="D87" s="16">
        <v>21.11</v>
      </c>
      <c r="E87" s="17">
        <v>2417167</v>
      </c>
      <c r="F87" s="15">
        <v>3000</v>
      </c>
      <c r="G87" s="15">
        <v>73797</v>
      </c>
      <c r="H87" s="16">
        <v>29.06</v>
      </c>
      <c r="I87" s="17">
        <v>2144236</v>
      </c>
      <c r="J87" s="15">
        <v>2094</v>
      </c>
      <c r="K87" s="15">
        <v>12464</v>
      </c>
      <c r="L87" s="16">
        <v>112.19</v>
      </c>
      <c r="M87" s="17">
        <v>1398325</v>
      </c>
      <c r="N87" s="15">
        <v>3128</v>
      </c>
      <c r="O87" s="17">
        <v>5959727</v>
      </c>
    </row>
    <row r="88" spans="2:15">
      <c r="B88" s="18">
        <v>84</v>
      </c>
      <c r="C88" s="19">
        <v>114679</v>
      </c>
      <c r="D88" s="20">
        <v>21.09</v>
      </c>
      <c r="E88" s="20">
        <v>2419132</v>
      </c>
      <c r="F88" s="19">
        <v>3000</v>
      </c>
      <c r="G88" s="19">
        <v>73758</v>
      </c>
      <c r="H88" s="20">
        <v>28.98</v>
      </c>
      <c r="I88" s="20">
        <v>2137676</v>
      </c>
      <c r="J88" s="19">
        <v>2087</v>
      </c>
      <c r="K88" s="19">
        <v>12496</v>
      </c>
      <c r="L88" s="20">
        <v>112</v>
      </c>
      <c r="M88" s="20">
        <v>1399562</v>
      </c>
      <c r="N88" s="19">
        <v>3122</v>
      </c>
      <c r="O88" s="20">
        <v>5956370</v>
      </c>
    </row>
  </sheetData>
  <mergeCells count="1">
    <mergeCell ref="B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B2:N92"/>
  <sheetViews>
    <sheetView showGridLines="0" workbookViewId="0"/>
  </sheetViews>
  <sheetFormatPr defaultRowHeight="15"/>
  <cols>
    <col min="1" max="1" width="3.7109375" customWidth="1"/>
    <col min="2" max="2" width="10.7109375" customWidth="1"/>
    <col min="3" max="15" width="14.7109375" customWidth="1"/>
  </cols>
  <sheetData>
    <row r="2" spans="2:14">
      <c r="B2" s="1" t="s">
        <v>193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4">
      <c r="B4" s="21" t="s">
        <v>194</v>
      </c>
      <c r="C4" s="21"/>
      <c r="D4" s="21" t="s">
        <v>195</v>
      </c>
      <c r="E4" s="21"/>
      <c r="F4" s="21" t="s">
        <v>196</v>
      </c>
      <c r="G4" s="21"/>
      <c r="H4" s="21" t="s">
        <v>198</v>
      </c>
      <c r="I4" s="21"/>
      <c r="J4" s="21" t="s">
        <v>200</v>
      </c>
      <c r="K4" s="21"/>
    </row>
    <row r="5" spans="2:14">
      <c r="B5" s="22">
        <v>346412252</v>
      </c>
      <c r="C5" s="22"/>
      <c r="D5" s="22">
        <v>190572600</v>
      </c>
      <c r="E5" s="22"/>
      <c r="F5" s="23" t="s">
        <v>197</v>
      </c>
      <c r="G5" s="23"/>
      <c r="H5" s="23" t="s">
        <v>199</v>
      </c>
      <c r="I5" s="23"/>
      <c r="J5" s="22">
        <v>73218772</v>
      </c>
      <c r="K5" s="22"/>
    </row>
    <row r="8" spans="2:14" ht="35" customHeight="1">
      <c r="B8" s="12" t="s">
        <v>179</v>
      </c>
      <c r="C8" s="12" t="s">
        <v>201</v>
      </c>
      <c r="D8" s="12" t="s">
        <v>202</v>
      </c>
      <c r="E8" s="12" t="s">
        <v>203</v>
      </c>
      <c r="F8" s="12" t="s">
        <v>204</v>
      </c>
      <c r="G8" s="12" t="s">
        <v>205</v>
      </c>
      <c r="H8" s="12" t="s">
        <v>206</v>
      </c>
      <c r="I8" s="12" t="s">
        <v>207</v>
      </c>
      <c r="J8" s="12" t="s">
        <v>208</v>
      </c>
      <c r="K8" s="12" t="s">
        <v>209</v>
      </c>
      <c r="L8" s="12" t="s">
        <v>210</v>
      </c>
      <c r="M8" s="12" t="s">
        <v>211</v>
      </c>
      <c r="N8" s="12" t="s">
        <v>212</v>
      </c>
    </row>
    <row r="9" spans="2:14">
      <c r="B9">
        <v>1</v>
      </c>
      <c r="C9" s="15">
        <v>1</v>
      </c>
      <c r="D9" s="17">
        <v>157433</v>
      </c>
      <c r="E9" s="15">
        <v>6297</v>
      </c>
      <c r="F9" s="15">
        <v>17</v>
      </c>
      <c r="G9" s="15">
        <v>6</v>
      </c>
      <c r="H9" s="17">
        <v>715625</v>
      </c>
      <c r="I9" s="17">
        <v>-602273</v>
      </c>
      <c r="J9" s="17">
        <v>157433</v>
      </c>
      <c r="K9" s="17">
        <v>-602273</v>
      </c>
      <c r="L9" s="17">
        <v>715625</v>
      </c>
      <c r="M9" s="24">
        <v>-0.841604192139738</v>
      </c>
      <c r="N9" s="25">
        <v>0.3409090909090909</v>
      </c>
    </row>
    <row r="10" spans="2:14">
      <c r="B10" s="18">
        <v>2</v>
      </c>
      <c r="C10" s="19">
        <v>1</v>
      </c>
      <c r="D10" s="20">
        <v>214729</v>
      </c>
      <c r="E10" s="19">
        <v>8589</v>
      </c>
      <c r="F10" s="19">
        <v>18</v>
      </c>
      <c r="G10" s="19">
        <v>6</v>
      </c>
      <c r="H10" s="20">
        <v>739583</v>
      </c>
      <c r="I10" s="20">
        <v>-584978</v>
      </c>
      <c r="J10" s="20">
        <v>372163</v>
      </c>
      <c r="K10" s="20">
        <v>-1187251</v>
      </c>
      <c r="L10" s="20">
        <v>1455208</v>
      </c>
      <c r="M10" s="26">
        <v>-0.8158634367045811</v>
      </c>
      <c r="N10" s="27">
        <v>0.3431025102647739</v>
      </c>
    </row>
    <row r="11" spans="2:14">
      <c r="B11">
        <v>3</v>
      </c>
      <c r="C11" s="15">
        <v>1</v>
      </c>
      <c r="D11" s="17">
        <v>290325</v>
      </c>
      <c r="E11" s="15">
        <v>11613</v>
      </c>
      <c r="F11" s="15">
        <v>20</v>
      </c>
      <c r="G11" s="15">
        <v>7</v>
      </c>
      <c r="H11" s="17">
        <v>763542</v>
      </c>
      <c r="I11" s="17">
        <v>-554508</v>
      </c>
      <c r="J11" s="17">
        <v>662488</v>
      </c>
      <c r="K11" s="17">
        <v>-1741759</v>
      </c>
      <c r="L11" s="17">
        <v>2218750</v>
      </c>
      <c r="M11" s="24">
        <v>-0.7850181408450704</v>
      </c>
      <c r="N11" s="25">
        <v>0.3453100421466352</v>
      </c>
    </row>
    <row r="12" spans="2:14">
      <c r="B12" s="18">
        <v>4</v>
      </c>
      <c r="C12" s="19">
        <v>1</v>
      </c>
      <c r="D12" s="20">
        <v>388080</v>
      </c>
      <c r="E12" s="19">
        <v>15523</v>
      </c>
      <c r="F12" s="19">
        <v>22</v>
      </c>
      <c r="G12" s="19">
        <v>7</v>
      </c>
      <c r="H12" s="20">
        <v>787500</v>
      </c>
      <c r="I12" s="20">
        <v>-508083</v>
      </c>
      <c r="J12" s="20">
        <v>1050567</v>
      </c>
      <c r="K12" s="20">
        <v>-2249842</v>
      </c>
      <c r="L12" s="20">
        <v>3006250</v>
      </c>
      <c r="M12" s="26">
        <v>-0.7483881912681912</v>
      </c>
      <c r="N12" s="27">
        <v>0.3475317773550932</v>
      </c>
    </row>
    <row r="13" spans="2:14">
      <c r="B13">
        <v>5</v>
      </c>
      <c r="C13" s="15">
        <v>1</v>
      </c>
      <c r="D13" s="17">
        <v>511261</v>
      </c>
      <c r="E13" s="15">
        <v>20450</v>
      </c>
      <c r="F13" s="15">
        <v>23</v>
      </c>
      <c r="G13" s="15">
        <v>8</v>
      </c>
      <c r="H13" s="17">
        <v>811458</v>
      </c>
      <c r="I13" s="17">
        <v>-443350</v>
      </c>
      <c r="J13" s="17">
        <v>1561828</v>
      </c>
      <c r="K13" s="17">
        <v>-2693192</v>
      </c>
      <c r="L13" s="17">
        <v>3817708</v>
      </c>
      <c r="M13" s="24">
        <v>-0.7054473521809421</v>
      </c>
      <c r="N13" s="25">
        <v>0.3497678072747789</v>
      </c>
    </row>
    <row r="14" spans="2:14">
      <c r="B14" s="18">
        <v>6</v>
      </c>
      <c r="C14" s="19">
        <v>1</v>
      </c>
      <c r="D14" s="20">
        <v>661532</v>
      </c>
      <c r="E14" s="19">
        <v>26461</v>
      </c>
      <c r="F14" s="19">
        <v>25</v>
      </c>
      <c r="G14" s="19">
        <v>8</v>
      </c>
      <c r="H14" s="20">
        <v>835417</v>
      </c>
      <c r="I14" s="20">
        <v>-359114</v>
      </c>
      <c r="J14" s="20">
        <v>2223360</v>
      </c>
      <c r="K14" s="20">
        <v>-3052306</v>
      </c>
      <c r="L14" s="20">
        <v>4653125</v>
      </c>
      <c r="M14" s="26">
        <v>-0.6559690530557422</v>
      </c>
      <c r="N14" s="27">
        <v>0.3520182238782947</v>
      </c>
    </row>
    <row r="15" spans="2:14">
      <c r="B15">
        <v>7</v>
      </c>
      <c r="C15" s="15">
        <v>1</v>
      </c>
      <c r="D15" s="17">
        <v>754006</v>
      </c>
      <c r="E15" s="15">
        <v>33511</v>
      </c>
      <c r="F15" s="15">
        <v>27</v>
      </c>
      <c r="G15" s="15">
        <v>9</v>
      </c>
      <c r="H15" s="17">
        <v>859375</v>
      </c>
      <c r="I15" s="17">
        <v>-316490</v>
      </c>
      <c r="J15" s="17">
        <v>2977366</v>
      </c>
      <c r="K15" s="17">
        <v>-3368796</v>
      </c>
      <c r="L15" s="17">
        <v>5512500</v>
      </c>
      <c r="M15" s="24">
        <v>-0.611119455782313</v>
      </c>
      <c r="N15" s="25">
        <v>0.3542831197299977</v>
      </c>
    </row>
    <row r="16" spans="2:14">
      <c r="B16" s="18">
        <v>8</v>
      </c>
      <c r="C16" s="19">
        <v>1</v>
      </c>
      <c r="D16" s="20">
        <v>930951</v>
      </c>
      <c r="E16" s="19">
        <v>41410</v>
      </c>
      <c r="F16" s="19">
        <v>28</v>
      </c>
      <c r="G16" s="19">
        <v>10</v>
      </c>
      <c r="H16" s="20">
        <v>883333</v>
      </c>
      <c r="I16" s="20">
        <v>-213048</v>
      </c>
      <c r="J16" s="20">
        <v>3908318</v>
      </c>
      <c r="K16" s="20">
        <v>-3581844</v>
      </c>
      <c r="L16" s="20">
        <v>6395833</v>
      </c>
      <c r="M16" s="26">
        <v>-0.5600277555714791</v>
      </c>
      <c r="N16" s="27">
        <v>0.3565625879898064</v>
      </c>
    </row>
    <row r="17" spans="2:14">
      <c r="B17">
        <v>9</v>
      </c>
      <c r="C17" s="15">
        <v>1</v>
      </c>
      <c r="D17" s="17">
        <v>1119077</v>
      </c>
      <c r="E17" s="15">
        <v>49820</v>
      </c>
      <c r="F17" s="15">
        <v>30</v>
      </c>
      <c r="G17" s="15">
        <v>10</v>
      </c>
      <c r="H17" s="17">
        <v>907292</v>
      </c>
      <c r="I17" s="17">
        <v>-101557</v>
      </c>
      <c r="J17" s="17">
        <v>5027394</v>
      </c>
      <c r="K17" s="17">
        <v>-3683401</v>
      </c>
      <c r="L17" s="17">
        <v>7303125</v>
      </c>
      <c r="M17" s="24">
        <v>-0.5043595721009841</v>
      </c>
      <c r="N17" s="25">
        <v>0.3588567224170335</v>
      </c>
    </row>
    <row r="18" spans="2:14">
      <c r="B18" s="18">
        <v>10</v>
      </c>
      <c r="C18" s="19">
        <v>1</v>
      </c>
      <c r="D18" s="20">
        <v>1308543</v>
      </c>
      <c r="E18" s="19">
        <v>58304</v>
      </c>
      <c r="F18" s="19">
        <v>32</v>
      </c>
      <c r="G18" s="19">
        <v>11</v>
      </c>
      <c r="H18" s="20">
        <v>931250</v>
      </c>
      <c r="I18" s="20">
        <v>10901</v>
      </c>
      <c r="J18" s="20">
        <v>6335938</v>
      </c>
      <c r="K18" s="20">
        <v>-3672500</v>
      </c>
      <c r="L18" s="20">
        <v>8234375</v>
      </c>
      <c r="M18" s="26">
        <v>-0.4459962049335863</v>
      </c>
      <c r="N18" s="27">
        <v>0.3611656173742419</v>
      </c>
    </row>
    <row r="19" spans="2:14">
      <c r="B19">
        <v>11</v>
      </c>
      <c r="C19" s="15">
        <v>1</v>
      </c>
      <c r="D19" s="17">
        <v>1489260</v>
      </c>
      <c r="E19" s="15">
        <v>66411</v>
      </c>
      <c r="F19" s="15">
        <v>33</v>
      </c>
      <c r="G19" s="15">
        <v>11</v>
      </c>
      <c r="H19" s="17">
        <v>955208</v>
      </c>
      <c r="I19" s="17">
        <v>117059</v>
      </c>
      <c r="J19" s="17">
        <v>7825197</v>
      </c>
      <c r="K19" s="17">
        <v>-3555441</v>
      </c>
      <c r="L19" s="17">
        <v>9189583</v>
      </c>
      <c r="M19" s="24">
        <v>-0.3868990573348105</v>
      </c>
      <c r="N19" s="25">
        <v>0.3634893678311257</v>
      </c>
    </row>
    <row r="20" spans="2:14">
      <c r="B20" s="18">
        <v>12</v>
      </c>
      <c r="C20" s="19">
        <v>1</v>
      </c>
      <c r="D20" s="20">
        <v>1652945</v>
      </c>
      <c r="E20" s="19">
        <v>73773</v>
      </c>
      <c r="F20" s="19">
        <v>35</v>
      </c>
      <c r="G20" s="19">
        <v>12</v>
      </c>
      <c r="H20" s="20">
        <v>979167</v>
      </c>
      <c r="I20" s="20">
        <v>210954</v>
      </c>
      <c r="J20" s="20">
        <v>9478143</v>
      </c>
      <c r="K20" s="20">
        <v>-3344487</v>
      </c>
      <c r="L20" s="20">
        <v>10168750</v>
      </c>
      <c r="M20" s="26">
        <v>-0.3288985371850031</v>
      </c>
      <c r="N20" s="27">
        <v>0.3658280693684173</v>
      </c>
    </row>
    <row r="21" spans="2:14">
      <c r="B21">
        <v>13</v>
      </c>
      <c r="C21" s="15">
        <v>1</v>
      </c>
      <c r="D21" s="17">
        <v>1794451</v>
      </c>
      <c r="E21" s="15">
        <v>80155</v>
      </c>
      <c r="F21" s="15">
        <v>37</v>
      </c>
      <c r="G21" s="15">
        <v>12</v>
      </c>
      <c r="H21" s="17">
        <v>745833</v>
      </c>
      <c r="I21" s="17">
        <v>546172</v>
      </c>
      <c r="J21" s="17">
        <v>11272594</v>
      </c>
      <c r="K21" s="17">
        <v>-2798315</v>
      </c>
      <c r="L21" s="17">
        <v>10914583</v>
      </c>
      <c r="M21" s="24">
        <v>-0.2563831343808554</v>
      </c>
      <c r="N21" s="25">
        <v>0.3681818181818182</v>
      </c>
    </row>
    <row r="22" spans="2:14">
      <c r="B22" s="18">
        <v>14</v>
      </c>
      <c r="C22" s="19">
        <v>1</v>
      </c>
      <c r="D22" s="20">
        <v>1911985</v>
      </c>
      <c r="E22" s="19">
        <v>85477</v>
      </c>
      <c r="F22" s="19">
        <v>38</v>
      </c>
      <c r="G22" s="19">
        <v>12</v>
      </c>
      <c r="H22" s="20">
        <v>762500</v>
      </c>
      <c r="I22" s="20">
        <v>614129</v>
      </c>
      <c r="J22" s="20">
        <v>13184579</v>
      </c>
      <c r="K22" s="20">
        <v>-2184186</v>
      </c>
      <c r="L22" s="20">
        <v>11677083</v>
      </c>
      <c r="M22" s="26">
        <v>-0.1870489402190599</v>
      </c>
      <c r="N22" s="27">
        <v>0.3705507110859558</v>
      </c>
    </row>
    <row r="23" spans="2:14">
      <c r="B23">
        <v>15</v>
      </c>
      <c r="C23" s="15">
        <v>1</v>
      </c>
      <c r="D23" s="17">
        <v>2006462</v>
      </c>
      <c r="E23" s="15">
        <v>89776</v>
      </c>
      <c r="F23" s="15">
        <v>40</v>
      </c>
      <c r="G23" s="15">
        <v>12</v>
      </c>
      <c r="H23" s="17">
        <v>779167</v>
      </c>
      <c r="I23" s="17">
        <v>665485</v>
      </c>
      <c r="J23" s="17">
        <v>15191040</v>
      </c>
      <c r="K23" s="17">
        <v>-1518701</v>
      </c>
      <c r="L23" s="17">
        <v>12456250</v>
      </c>
      <c r="M23" s="24">
        <v>-0.1219228098344205</v>
      </c>
      <c r="N23" s="25">
        <v>0.3729348455183661</v>
      </c>
    </row>
    <row r="24" spans="2:14">
      <c r="B24" s="18">
        <v>16</v>
      </c>
      <c r="C24" s="19">
        <v>1</v>
      </c>
      <c r="D24" s="20">
        <v>2080483</v>
      </c>
      <c r="E24" s="19">
        <v>93166</v>
      </c>
      <c r="F24" s="19">
        <v>42</v>
      </c>
      <c r="G24" s="19">
        <v>12</v>
      </c>
      <c r="H24" s="20">
        <v>795833</v>
      </c>
      <c r="I24" s="20">
        <v>702115</v>
      </c>
      <c r="J24" s="20">
        <v>17271524</v>
      </c>
      <c r="K24" s="20">
        <v>-816586</v>
      </c>
      <c r="L24" s="20">
        <v>13252083</v>
      </c>
      <c r="M24" s="26">
        <v>-0.06161944503365999</v>
      </c>
      <c r="N24" s="27">
        <v>0.3753343195435007</v>
      </c>
    </row>
    <row r="25" spans="2:14">
      <c r="B25">
        <v>17</v>
      </c>
      <c r="C25" s="15">
        <v>1</v>
      </c>
      <c r="D25" s="17">
        <v>2137385</v>
      </c>
      <c r="E25" s="15">
        <v>95794</v>
      </c>
      <c r="F25" s="15">
        <v>43</v>
      </c>
      <c r="G25" s="15">
        <v>12</v>
      </c>
      <c r="H25" s="17">
        <v>812500</v>
      </c>
      <c r="I25" s="17">
        <v>726417</v>
      </c>
      <c r="J25" s="17">
        <v>19408908</v>
      </c>
      <c r="K25" s="17">
        <v>-90169</v>
      </c>
      <c r="L25" s="17">
        <v>14064583</v>
      </c>
      <c r="M25" s="24">
        <v>-0.006411068141870968</v>
      </c>
      <c r="N25" s="25">
        <v>0.3777492318567612</v>
      </c>
    </row>
    <row r="26" spans="2:14">
      <c r="B26" s="18">
        <v>18</v>
      </c>
      <c r="C26" s="19">
        <v>2</v>
      </c>
      <c r="D26" s="20">
        <v>2393310</v>
      </c>
      <c r="E26" s="19">
        <v>102538</v>
      </c>
      <c r="F26" s="19">
        <v>45</v>
      </c>
      <c r="G26" s="19">
        <v>12</v>
      </c>
      <c r="H26" s="20">
        <v>959167</v>
      </c>
      <c r="I26" s="20">
        <v>781037</v>
      </c>
      <c r="J26" s="20">
        <v>21802218</v>
      </c>
      <c r="K26" s="20">
        <v>690868</v>
      </c>
      <c r="L26" s="20">
        <v>15023750</v>
      </c>
      <c r="M26" s="26">
        <v>0.04598505699309427</v>
      </c>
      <c r="N26" s="27">
        <v>0.3801796817885583</v>
      </c>
    </row>
    <row r="27" spans="2:14">
      <c r="B27">
        <v>19</v>
      </c>
      <c r="C27" s="15">
        <v>2</v>
      </c>
      <c r="D27" s="17">
        <v>2481411</v>
      </c>
      <c r="E27" s="15">
        <v>105315</v>
      </c>
      <c r="F27" s="15">
        <v>45</v>
      </c>
      <c r="G27" s="15">
        <v>12</v>
      </c>
      <c r="H27" s="17">
        <v>959167</v>
      </c>
      <c r="I27" s="17">
        <v>848919</v>
      </c>
      <c r="J27" s="17">
        <v>24283629</v>
      </c>
      <c r="K27" s="17">
        <v>1539787</v>
      </c>
      <c r="L27" s="17">
        <v>15982917</v>
      </c>
      <c r="M27" s="24">
        <v>0.09633954803118855</v>
      </c>
      <c r="N27" s="25">
        <v>0.3826257693083974</v>
      </c>
    </row>
    <row r="28" spans="2:14">
      <c r="B28" s="18">
        <v>20</v>
      </c>
      <c r="C28" s="19">
        <v>2</v>
      </c>
      <c r="D28" s="20">
        <v>2574377</v>
      </c>
      <c r="E28" s="19">
        <v>108017</v>
      </c>
      <c r="F28" s="19">
        <v>45</v>
      </c>
      <c r="G28" s="19">
        <v>12</v>
      </c>
      <c r="H28" s="20">
        <v>959167</v>
      </c>
      <c r="I28" s="20">
        <v>921344</v>
      </c>
      <c r="J28" s="20">
        <v>26858007</v>
      </c>
      <c r="K28" s="20">
        <v>2461131</v>
      </c>
      <c r="L28" s="20">
        <v>16942084</v>
      </c>
      <c r="M28" s="26">
        <v>0.1452673118608077</v>
      </c>
      <c r="N28" s="27">
        <v>0.3850875950289909</v>
      </c>
    </row>
    <row r="29" spans="2:14">
      <c r="B29">
        <v>21</v>
      </c>
      <c r="C29" s="15">
        <v>2</v>
      </c>
      <c r="D29" s="17">
        <v>2676428</v>
      </c>
      <c r="E29" s="15">
        <v>110785</v>
      </c>
      <c r="F29" s="15">
        <v>45</v>
      </c>
      <c r="G29" s="15">
        <v>12</v>
      </c>
      <c r="H29" s="17">
        <v>959167</v>
      </c>
      <c r="I29" s="17">
        <v>1001522</v>
      </c>
      <c r="J29" s="17">
        <v>29534435</v>
      </c>
      <c r="K29" s="17">
        <v>3462653</v>
      </c>
      <c r="L29" s="17">
        <v>17901251</v>
      </c>
      <c r="M29" s="24">
        <v>0.1934307831335363</v>
      </c>
      <c r="N29" s="25">
        <v>0.3875652602103962</v>
      </c>
    </row>
    <row r="30" spans="2:14">
      <c r="B30" s="18">
        <v>22</v>
      </c>
      <c r="C30" s="19">
        <v>2</v>
      </c>
      <c r="D30" s="20">
        <v>2791232</v>
      </c>
      <c r="E30" s="19">
        <v>113735</v>
      </c>
      <c r="F30" s="19">
        <v>45</v>
      </c>
      <c r="G30" s="19">
        <v>12</v>
      </c>
      <c r="H30" s="20">
        <v>959167</v>
      </c>
      <c r="I30" s="20">
        <v>1092262</v>
      </c>
      <c r="J30" s="20">
        <v>32325668</v>
      </c>
      <c r="K30" s="20">
        <v>4554915</v>
      </c>
      <c r="L30" s="20">
        <v>18860418</v>
      </c>
      <c r="M30" s="26">
        <v>0.2415065774258025</v>
      </c>
      <c r="N30" s="27">
        <v>0.3900588667641813</v>
      </c>
    </row>
    <row r="31" spans="2:14">
      <c r="B31">
        <v>23</v>
      </c>
      <c r="C31" s="15">
        <v>2</v>
      </c>
      <c r="D31" s="17">
        <v>2921725</v>
      </c>
      <c r="E31" s="15">
        <v>116960</v>
      </c>
      <c r="F31" s="15">
        <v>45</v>
      </c>
      <c r="G31" s="15">
        <v>12</v>
      </c>
      <c r="H31" s="17">
        <v>959167</v>
      </c>
      <c r="I31" s="17">
        <v>1195816</v>
      </c>
      <c r="J31" s="17">
        <v>35247393</v>
      </c>
      <c r="K31" s="17">
        <v>5750731</v>
      </c>
      <c r="L31" s="17">
        <v>19819585</v>
      </c>
      <c r="M31" s="24">
        <v>0.290153956301305</v>
      </c>
      <c r="N31" s="25">
        <v>0.3925685172576158</v>
      </c>
    </row>
    <row r="32" spans="2:14">
      <c r="B32" s="18">
        <v>24</v>
      </c>
      <c r="C32" s="19">
        <v>2</v>
      </c>
      <c r="D32" s="20">
        <v>2874405</v>
      </c>
      <c r="E32" s="19">
        <v>120523</v>
      </c>
      <c r="F32" s="19">
        <v>45</v>
      </c>
      <c r="G32" s="19">
        <v>12</v>
      </c>
      <c r="H32" s="20">
        <v>959167</v>
      </c>
      <c r="I32" s="20">
        <v>1157312</v>
      </c>
      <c r="J32" s="20">
        <v>38121798</v>
      </c>
      <c r="K32" s="20">
        <v>6908043</v>
      </c>
      <c r="L32" s="20">
        <v>20778752</v>
      </c>
      <c r="M32" s="26">
        <v>0.3324570696064903</v>
      </c>
      <c r="N32" s="27">
        <v>0.3950943149178907</v>
      </c>
    </row>
    <row r="33" spans="2:14">
      <c r="B33">
        <v>25</v>
      </c>
      <c r="C33" s="15">
        <v>2</v>
      </c>
      <c r="D33" s="17">
        <v>2999011</v>
      </c>
      <c r="E33" s="15">
        <v>124453</v>
      </c>
      <c r="F33" s="15">
        <v>45</v>
      </c>
      <c r="G33" s="15">
        <v>12</v>
      </c>
      <c r="H33" s="17">
        <v>959167</v>
      </c>
      <c r="I33" s="17">
        <v>1256488</v>
      </c>
      <c r="J33" s="17">
        <v>41120808</v>
      </c>
      <c r="K33" s="17">
        <v>8164531</v>
      </c>
      <c r="L33" s="17">
        <v>21737919</v>
      </c>
      <c r="M33" s="24">
        <v>0.3755893560924576</v>
      </c>
      <c r="N33" s="25">
        <v>0.3976363636363636</v>
      </c>
    </row>
    <row r="34" spans="2:14">
      <c r="B34" s="18">
        <v>26</v>
      </c>
      <c r="C34" s="19">
        <v>2</v>
      </c>
      <c r="D34" s="20">
        <v>3135636</v>
      </c>
      <c r="E34" s="19">
        <v>128740</v>
      </c>
      <c r="F34" s="19">
        <v>45</v>
      </c>
      <c r="G34" s="19">
        <v>12</v>
      </c>
      <c r="H34" s="20">
        <v>959167</v>
      </c>
      <c r="I34" s="20">
        <v>1365380</v>
      </c>
      <c r="J34" s="20">
        <v>44256445</v>
      </c>
      <c r="K34" s="20">
        <v>9529911</v>
      </c>
      <c r="L34" s="20">
        <v>22697086</v>
      </c>
      <c r="M34" s="26">
        <v>0.4198737670553832</v>
      </c>
      <c r="N34" s="27">
        <v>0.4001947679728323</v>
      </c>
    </row>
    <row r="35" spans="2:14">
      <c r="B35">
        <v>27</v>
      </c>
      <c r="C35" s="15">
        <v>2</v>
      </c>
      <c r="D35" s="17">
        <v>3282270</v>
      </c>
      <c r="E35" s="15">
        <v>133333</v>
      </c>
      <c r="F35" s="15">
        <v>45</v>
      </c>
      <c r="G35" s="15">
        <v>12</v>
      </c>
      <c r="H35" s="17">
        <v>959167</v>
      </c>
      <c r="I35" s="17">
        <v>1482350</v>
      </c>
      <c r="J35" s="17">
        <v>47538714</v>
      </c>
      <c r="K35" s="17">
        <v>11012261</v>
      </c>
      <c r="L35" s="17">
        <v>23656253</v>
      </c>
      <c r="M35" s="24">
        <v>0.46551163449258</v>
      </c>
      <c r="N35" s="25">
        <v>0.4027696331598354</v>
      </c>
    </row>
    <row r="36" spans="2:14">
      <c r="B36" s="18">
        <v>28</v>
      </c>
      <c r="C36" s="19">
        <v>2</v>
      </c>
      <c r="D36" s="20">
        <v>3435653</v>
      </c>
      <c r="E36" s="19">
        <v>138140</v>
      </c>
      <c r="F36" s="19">
        <v>45</v>
      </c>
      <c r="G36" s="19">
        <v>12</v>
      </c>
      <c r="H36" s="20">
        <v>959167</v>
      </c>
      <c r="I36" s="20">
        <v>1604774</v>
      </c>
      <c r="J36" s="20">
        <v>50974367</v>
      </c>
      <c r="K36" s="20">
        <v>12617035</v>
      </c>
      <c r="L36" s="20">
        <v>24615420</v>
      </c>
      <c r="M36" s="26">
        <v>0.5125663100609293</v>
      </c>
      <c r="N36" s="27">
        <v>0.4053610651069808</v>
      </c>
    </row>
    <row r="37" spans="2:14">
      <c r="B37">
        <v>29</v>
      </c>
      <c r="C37" s="15">
        <v>2</v>
      </c>
      <c r="D37" s="17">
        <v>3591579</v>
      </c>
      <c r="E37" s="15">
        <v>143038</v>
      </c>
      <c r="F37" s="15">
        <v>45</v>
      </c>
      <c r="G37" s="15">
        <v>12</v>
      </c>
      <c r="H37" s="17">
        <v>959167</v>
      </c>
      <c r="I37" s="17">
        <v>1729269</v>
      </c>
      <c r="J37" s="17">
        <v>54565946</v>
      </c>
      <c r="K37" s="17">
        <v>14346304</v>
      </c>
      <c r="L37" s="17">
        <v>25574587</v>
      </c>
      <c r="M37" s="24">
        <v>0.5609593617288913</v>
      </c>
      <c r="N37" s="25">
        <v>0.4079691704053022</v>
      </c>
    </row>
    <row r="38" spans="2:14">
      <c r="B38" s="18">
        <v>30</v>
      </c>
      <c r="C38" s="19">
        <v>2</v>
      </c>
      <c r="D38" s="20">
        <v>3745382</v>
      </c>
      <c r="E38" s="19">
        <v>147893</v>
      </c>
      <c r="F38" s="19">
        <v>45</v>
      </c>
      <c r="G38" s="19">
        <v>12</v>
      </c>
      <c r="H38" s="20">
        <v>829167</v>
      </c>
      <c r="I38" s="20">
        <v>1982091</v>
      </c>
      <c r="J38" s="20">
        <v>58311328</v>
      </c>
      <c r="K38" s="20">
        <v>16328395</v>
      </c>
      <c r="L38" s="20">
        <v>26403754</v>
      </c>
      <c r="M38" s="26">
        <v>0.6184118743115089</v>
      </c>
      <c r="N38" s="27">
        <v>0.410594056331643</v>
      </c>
    </row>
    <row r="39" spans="2:14">
      <c r="B39">
        <v>31</v>
      </c>
      <c r="C39" s="15">
        <v>2</v>
      </c>
      <c r="D39" s="17">
        <v>3892524</v>
      </c>
      <c r="E39" s="15">
        <v>152566</v>
      </c>
      <c r="F39" s="15">
        <v>45</v>
      </c>
      <c r="G39" s="15">
        <v>12</v>
      </c>
      <c r="H39" s="17">
        <v>829167</v>
      </c>
      <c r="I39" s="17">
        <v>2099606</v>
      </c>
      <c r="J39" s="17">
        <v>62203852</v>
      </c>
      <c r="K39" s="17">
        <v>18428001</v>
      </c>
      <c r="L39" s="17">
        <v>27232921</v>
      </c>
      <c r="M39" s="24">
        <v>0.6766810288180251</v>
      </c>
      <c r="N39" s="25">
        <v>0.4132358308530693</v>
      </c>
    </row>
    <row r="40" spans="2:14">
      <c r="B40" s="18">
        <v>32</v>
      </c>
      <c r="C40" s="19">
        <v>2</v>
      </c>
      <c r="D40" s="20">
        <v>4029146</v>
      </c>
      <c r="E40" s="19">
        <v>156941</v>
      </c>
      <c r="F40" s="19">
        <v>45</v>
      </c>
      <c r="G40" s="19">
        <v>12</v>
      </c>
      <c r="H40" s="20">
        <v>829167</v>
      </c>
      <c r="I40" s="20">
        <v>2208717</v>
      </c>
      <c r="J40" s="20">
        <v>66232999</v>
      </c>
      <c r="K40" s="20">
        <v>20636718</v>
      </c>
      <c r="L40" s="20">
        <v>28062088</v>
      </c>
      <c r="M40" s="26">
        <v>0.7353949570680557</v>
      </c>
      <c r="N40" s="27">
        <v>0.4158946026313102</v>
      </c>
    </row>
    <row r="41" spans="2:14">
      <c r="B41">
        <v>33</v>
      </c>
      <c r="C41" s="15">
        <v>2</v>
      </c>
      <c r="D41" s="17">
        <v>4152444</v>
      </c>
      <c r="E41" s="15">
        <v>160932</v>
      </c>
      <c r="F41" s="15">
        <v>45</v>
      </c>
      <c r="G41" s="15">
        <v>12</v>
      </c>
      <c r="H41" s="17">
        <v>829167</v>
      </c>
      <c r="I41" s="17">
        <v>2307179</v>
      </c>
      <c r="J41" s="17">
        <v>70385443</v>
      </c>
      <c r="K41" s="17">
        <v>22943897</v>
      </c>
      <c r="L41" s="17">
        <v>28891255</v>
      </c>
      <c r="M41" s="24">
        <v>0.7941467755554406</v>
      </c>
      <c r="N41" s="25">
        <v>0.418570481027228</v>
      </c>
    </row>
    <row r="42" spans="2:14">
      <c r="B42" s="18">
        <v>34</v>
      </c>
      <c r="C42" s="19">
        <v>2</v>
      </c>
      <c r="D42" s="20">
        <v>4260822</v>
      </c>
      <c r="E42" s="19">
        <v>164487</v>
      </c>
      <c r="F42" s="19">
        <v>45</v>
      </c>
      <c r="G42" s="19">
        <v>12</v>
      </c>
      <c r="H42" s="20">
        <v>829167</v>
      </c>
      <c r="I42" s="20">
        <v>2393713</v>
      </c>
      <c r="J42" s="20">
        <v>74646265</v>
      </c>
      <c r="K42" s="20">
        <v>25337610</v>
      </c>
      <c r="L42" s="20">
        <v>29720422</v>
      </c>
      <c r="M42" s="26">
        <v>0.8525319727963486</v>
      </c>
      <c r="N42" s="27">
        <v>0.4212635761053158</v>
      </c>
    </row>
    <row r="43" spans="2:14">
      <c r="B43">
        <v>35</v>
      </c>
      <c r="C43" s="15">
        <v>2</v>
      </c>
      <c r="D43" s="17">
        <v>4353827</v>
      </c>
      <c r="E43" s="15">
        <v>167590</v>
      </c>
      <c r="F43" s="15">
        <v>45</v>
      </c>
      <c r="G43" s="15">
        <v>12</v>
      </c>
      <c r="H43" s="17">
        <v>829167</v>
      </c>
      <c r="I43" s="17">
        <v>2467952</v>
      </c>
      <c r="J43" s="17">
        <v>79000092</v>
      </c>
      <c r="K43" s="17">
        <v>27805562</v>
      </c>
      <c r="L43" s="17">
        <v>30549589</v>
      </c>
      <c r="M43" s="24">
        <v>0.9101779405281033</v>
      </c>
      <c r="N43" s="25">
        <v>0.4239739986382252</v>
      </c>
    </row>
    <row r="44" spans="2:14">
      <c r="B44" s="18">
        <v>36</v>
      </c>
      <c r="C44" s="19">
        <v>2</v>
      </c>
      <c r="D44" s="20">
        <v>4431932</v>
      </c>
      <c r="E44" s="19">
        <v>170251</v>
      </c>
      <c r="F44" s="19">
        <v>45</v>
      </c>
      <c r="G44" s="19">
        <v>12</v>
      </c>
      <c r="H44" s="20">
        <v>829167</v>
      </c>
      <c r="I44" s="20">
        <v>2530276</v>
      </c>
      <c r="J44" s="20">
        <v>83432025</v>
      </c>
      <c r="K44" s="20">
        <v>30335838</v>
      </c>
      <c r="L44" s="20">
        <v>31378756</v>
      </c>
      <c r="M44" s="26">
        <v>0.9667635644956735</v>
      </c>
      <c r="N44" s="27">
        <v>0.4267018601113221</v>
      </c>
    </row>
    <row r="45" spans="2:14">
      <c r="B45">
        <v>37</v>
      </c>
      <c r="C45" s="15">
        <v>2</v>
      </c>
      <c r="D45" s="17">
        <v>4496265</v>
      </c>
      <c r="E45" s="15">
        <v>172503</v>
      </c>
      <c r="F45" s="15">
        <v>45</v>
      </c>
      <c r="G45" s="15">
        <v>12</v>
      </c>
      <c r="H45" s="17">
        <v>829167</v>
      </c>
      <c r="I45" s="17">
        <v>2581584</v>
      </c>
      <c r="J45" s="17">
        <v>87928289</v>
      </c>
      <c r="K45" s="17">
        <v>32917422</v>
      </c>
      <c r="L45" s="17">
        <v>32207923</v>
      </c>
      <c r="M45" s="24">
        <v>1.022028710140669</v>
      </c>
      <c r="N45" s="25">
        <v>0.4294472727272727</v>
      </c>
    </row>
    <row r="46" spans="2:14">
      <c r="B46" s="18">
        <v>38</v>
      </c>
      <c r="C46" s="19">
        <v>2</v>
      </c>
      <c r="D46" s="20">
        <v>4548324</v>
      </c>
      <c r="E46" s="19">
        <v>174388</v>
      </c>
      <c r="F46" s="19">
        <v>45</v>
      </c>
      <c r="G46" s="19">
        <v>12</v>
      </c>
      <c r="H46" s="20">
        <v>829167</v>
      </c>
      <c r="I46" s="20">
        <v>2623076</v>
      </c>
      <c r="J46" s="20">
        <v>92476614</v>
      </c>
      <c r="K46" s="20">
        <v>35540498</v>
      </c>
      <c r="L46" s="20">
        <v>33037090</v>
      </c>
      <c r="M46" s="26">
        <v>1.075775681211632</v>
      </c>
      <c r="N46" s="27">
        <v>0.4322103494106589</v>
      </c>
    </row>
    <row r="47" spans="2:14">
      <c r="B47">
        <v>39</v>
      </c>
      <c r="C47" s="15">
        <v>2</v>
      </c>
      <c r="D47" s="17">
        <v>4589764</v>
      </c>
      <c r="E47" s="15">
        <v>175955</v>
      </c>
      <c r="F47" s="15">
        <v>45</v>
      </c>
      <c r="G47" s="15">
        <v>12</v>
      </c>
      <c r="H47" s="17">
        <v>829167</v>
      </c>
      <c r="I47" s="17">
        <v>2656072</v>
      </c>
      <c r="J47" s="17">
        <v>97066378</v>
      </c>
      <c r="K47" s="17">
        <v>38196570</v>
      </c>
      <c r="L47" s="17">
        <v>33866257</v>
      </c>
      <c r="M47" s="24">
        <v>1.127865119549527</v>
      </c>
      <c r="N47" s="25">
        <v>0.4349912038126222</v>
      </c>
    </row>
    <row r="48" spans="2:14">
      <c r="B48" s="18">
        <v>40</v>
      </c>
      <c r="C48" s="19">
        <v>2</v>
      </c>
      <c r="D48" s="20">
        <v>4622223</v>
      </c>
      <c r="E48" s="19">
        <v>177251</v>
      </c>
      <c r="F48" s="19">
        <v>45</v>
      </c>
      <c r="G48" s="19">
        <v>12</v>
      </c>
      <c r="H48" s="20">
        <v>829167</v>
      </c>
      <c r="I48" s="20">
        <v>2681886</v>
      </c>
      <c r="J48" s="20">
        <v>101688602</v>
      </c>
      <c r="K48" s="20">
        <v>40878456</v>
      </c>
      <c r="L48" s="20">
        <v>34695424</v>
      </c>
      <c r="M48" s="26">
        <v>1.178208861203137</v>
      </c>
      <c r="N48" s="27">
        <v>0.4377899503155392</v>
      </c>
    </row>
    <row r="49" spans="2:14">
      <c r="B49">
        <v>41</v>
      </c>
      <c r="C49" s="15">
        <v>2</v>
      </c>
      <c r="D49" s="17">
        <v>4647225</v>
      </c>
      <c r="E49" s="15">
        <v>178321</v>
      </c>
      <c r="F49" s="15">
        <v>45</v>
      </c>
      <c r="G49" s="15">
        <v>12</v>
      </c>
      <c r="H49" s="17">
        <v>829167</v>
      </c>
      <c r="I49" s="17">
        <v>2701733</v>
      </c>
      <c r="J49" s="17">
        <v>106335827</v>
      </c>
      <c r="K49" s="17">
        <v>43580189</v>
      </c>
      <c r="L49" s="17">
        <v>35524591</v>
      </c>
      <c r="M49" s="24">
        <v>1.226761175096991</v>
      </c>
      <c r="N49" s="25">
        <v>0.4406067040377264</v>
      </c>
    </row>
    <row r="50" spans="2:14">
      <c r="B50" s="18">
        <v>42</v>
      </c>
      <c r="C50" s="19">
        <v>3</v>
      </c>
      <c r="D50" s="20">
        <v>4767846</v>
      </c>
      <c r="E50" s="19">
        <v>179934</v>
      </c>
      <c r="F50" s="19">
        <v>45</v>
      </c>
      <c r="G50" s="19">
        <v>12</v>
      </c>
      <c r="H50" s="20">
        <v>999167</v>
      </c>
      <c r="I50" s="20">
        <v>2630111</v>
      </c>
      <c r="J50" s="20">
        <v>111103673</v>
      </c>
      <c r="K50" s="20">
        <v>46210300</v>
      </c>
      <c r="L50" s="20">
        <v>36523758</v>
      </c>
      <c r="M50" s="26">
        <v>1.265212084692928</v>
      </c>
      <c r="N50" s="27">
        <v>0.4434415808381745</v>
      </c>
    </row>
    <row r="51" spans="2:14">
      <c r="B51">
        <v>43</v>
      </c>
      <c r="C51" s="15">
        <v>3</v>
      </c>
      <c r="D51" s="17">
        <v>4802879</v>
      </c>
      <c r="E51" s="15">
        <v>180819</v>
      </c>
      <c r="F51" s="15">
        <v>45</v>
      </c>
      <c r="G51" s="15">
        <v>12</v>
      </c>
      <c r="H51" s="17">
        <v>999167</v>
      </c>
      <c r="I51" s="17">
        <v>2658406</v>
      </c>
      <c r="J51" s="17">
        <v>115906553</v>
      </c>
      <c r="K51" s="17">
        <v>48868706</v>
      </c>
      <c r="L51" s="17">
        <v>37522925</v>
      </c>
      <c r="M51" s="24">
        <v>1.302369311560866</v>
      </c>
      <c r="N51" s="25">
        <v>0.4462946973213148</v>
      </c>
    </row>
    <row r="52" spans="2:14">
      <c r="B52" s="18">
        <v>44</v>
      </c>
      <c r="C52" s="19">
        <v>3</v>
      </c>
      <c r="D52" s="20">
        <v>4837900</v>
      </c>
      <c r="E52" s="19">
        <v>181613</v>
      </c>
      <c r="F52" s="19">
        <v>45</v>
      </c>
      <c r="G52" s="19">
        <v>12</v>
      </c>
      <c r="H52" s="20">
        <v>999167</v>
      </c>
      <c r="I52" s="20">
        <v>2686770</v>
      </c>
      <c r="J52" s="20">
        <v>120744452</v>
      </c>
      <c r="K52" s="20">
        <v>51555476</v>
      </c>
      <c r="L52" s="20">
        <v>38522092</v>
      </c>
      <c r="M52" s="26">
        <v>1.338335311592112</v>
      </c>
      <c r="N52" s="27">
        <v>0.4491661708418151</v>
      </c>
    </row>
    <row r="53" spans="2:14">
      <c r="B53">
        <v>45</v>
      </c>
      <c r="C53" s="15">
        <v>3</v>
      </c>
      <c r="D53" s="17">
        <v>4874274</v>
      </c>
      <c r="E53" s="15">
        <v>182341</v>
      </c>
      <c r="F53" s="15">
        <v>45</v>
      </c>
      <c r="G53" s="15">
        <v>12</v>
      </c>
      <c r="H53" s="17">
        <v>999167</v>
      </c>
      <c r="I53" s="17">
        <v>2716308</v>
      </c>
      <c r="J53" s="17">
        <v>125618727</v>
      </c>
      <c r="K53" s="17">
        <v>54271784</v>
      </c>
      <c r="L53" s="17">
        <v>39521259</v>
      </c>
      <c r="M53" s="24">
        <v>1.373230139252396</v>
      </c>
      <c r="N53" s="25">
        <v>0.4520561195094063</v>
      </c>
    </row>
    <row r="54" spans="2:14">
      <c r="B54" s="18">
        <v>46</v>
      </c>
      <c r="C54" s="19">
        <v>3</v>
      </c>
      <c r="D54" s="20">
        <v>4913222</v>
      </c>
      <c r="E54" s="19">
        <v>183030</v>
      </c>
      <c r="F54" s="19">
        <v>45</v>
      </c>
      <c r="G54" s="19">
        <v>12</v>
      </c>
      <c r="H54" s="20">
        <v>999167</v>
      </c>
      <c r="I54" s="20">
        <v>2748005</v>
      </c>
      <c r="J54" s="20">
        <v>130531949</v>
      </c>
      <c r="K54" s="20">
        <v>57019789</v>
      </c>
      <c r="L54" s="20">
        <v>40520426</v>
      </c>
      <c r="M54" s="26">
        <v>1.40718631635314</v>
      </c>
      <c r="N54" s="27">
        <v>0.4549646621937411</v>
      </c>
    </row>
    <row r="55" spans="2:14">
      <c r="B55">
        <v>47</v>
      </c>
      <c r="C55" s="15">
        <v>3</v>
      </c>
      <c r="D55" s="17">
        <v>4955804</v>
      </c>
      <c r="E55" s="15">
        <v>183697</v>
      </c>
      <c r="F55" s="15">
        <v>45</v>
      </c>
      <c r="G55" s="15">
        <v>12</v>
      </c>
      <c r="H55" s="17">
        <v>999167</v>
      </c>
      <c r="I55" s="17">
        <v>2782722</v>
      </c>
      <c r="J55" s="17">
        <v>135487753</v>
      </c>
      <c r="K55" s="17">
        <v>59802511</v>
      </c>
      <c r="L55" s="17">
        <v>41519593</v>
      </c>
      <c r="M55" s="24">
        <v>1.440344345379301</v>
      </c>
      <c r="N55" s="25">
        <v>0.4578919185292832</v>
      </c>
    </row>
    <row r="56" spans="2:14">
      <c r="B56" s="18">
        <v>48</v>
      </c>
      <c r="C56" s="19">
        <v>3</v>
      </c>
      <c r="D56" s="20">
        <v>4958137</v>
      </c>
      <c r="E56" s="19">
        <v>184360</v>
      </c>
      <c r="F56" s="19">
        <v>45</v>
      </c>
      <c r="G56" s="19">
        <v>12</v>
      </c>
      <c r="H56" s="20">
        <v>999167</v>
      </c>
      <c r="I56" s="20">
        <v>2784466</v>
      </c>
      <c r="J56" s="20">
        <v>140445890</v>
      </c>
      <c r="K56" s="20">
        <v>62586977</v>
      </c>
      <c r="L56" s="20">
        <v>42518760</v>
      </c>
      <c r="M56" s="26">
        <v>1.471985001444069</v>
      </c>
      <c r="N56" s="27">
        <v>0.4608380089202279</v>
      </c>
    </row>
    <row r="57" spans="2:14">
      <c r="B57">
        <v>49</v>
      </c>
      <c r="C57" s="15">
        <v>3</v>
      </c>
      <c r="D57" s="17">
        <v>5002005</v>
      </c>
      <c r="E57" s="15">
        <v>185031</v>
      </c>
      <c r="F57" s="15">
        <v>45</v>
      </c>
      <c r="G57" s="15">
        <v>12</v>
      </c>
      <c r="H57" s="17">
        <v>999167</v>
      </c>
      <c r="I57" s="17">
        <v>2820292</v>
      </c>
      <c r="J57" s="17">
        <v>145447895</v>
      </c>
      <c r="K57" s="17">
        <v>65407269</v>
      </c>
      <c r="L57" s="17">
        <v>43517927</v>
      </c>
      <c r="M57" s="24">
        <v>1.502995972211636</v>
      </c>
      <c r="N57" s="25">
        <v>0.4638030545454546</v>
      </c>
    </row>
    <row r="58" spans="2:14">
      <c r="B58" s="18">
        <v>50</v>
      </c>
      <c r="C58" s="19">
        <v>3</v>
      </c>
      <c r="D58" s="20">
        <v>5050295</v>
      </c>
      <c r="E58" s="19">
        <v>185718</v>
      </c>
      <c r="F58" s="19">
        <v>45</v>
      </c>
      <c r="G58" s="19">
        <v>12</v>
      </c>
      <c r="H58" s="20">
        <v>999167</v>
      </c>
      <c r="I58" s="20">
        <v>2859763</v>
      </c>
      <c r="J58" s="20">
        <v>150498190</v>
      </c>
      <c r="K58" s="20">
        <v>68267032</v>
      </c>
      <c r="L58" s="20">
        <v>44517094</v>
      </c>
      <c r="M58" s="26">
        <v>1.533501535387732</v>
      </c>
      <c r="N58" s="27">
        <v>0.4667871773635116</v>
      </c>
    </row>
    <row r="59" spans="2:14">
      <c r="B59">
        <v>51</v>
      </c>
      <c r="C59" s="15">
        <v>3</v>
      </c>
      <c r="D59" s="17">
        <v>5103080</v>
      </c>
      <c r="E59" s="15">
        <v>186428</v>
      </c>
      <c r="F59" s="15">
        <v>45</v>
      </c>
      <c r="G59" s="15">
        <v>12</v>
      </c>
      <c r="H59" s="17">
        <v>999167</v>
      </c>
      <c r="I59" s="17">
        <v>2902936</v>
      </c>
      <c r="J59" s="17">
        <v>155601270</v>
      </c>
      <c r="K59" s="17">
        <v>71169968</v>
      </c>
      <c r="L59" s="17">
        <v>45516261</v>
      </c>
      <c r="M59" s="24">
        <v>1.563616308466111</v>
      </c>
      <c r="N59" s="25">
        <v>0.469790500117632</v>
      </c>
    </row>
    <row r="60" spans="2:14">
      <c r="B60" s="18">
        <v>52</v>
      </c>
      <c r="C60" s="19">
        <v>3</v>
      </c>
      <c r="D60" s="20">
        <v>5160135</v>
      </c>
      <c r="E60" s="19">
        <v>187162</v>
      </c>
      <c r="F60" s="19">
        <v>45</v>
      </c>
      <c r="G60" s="19">
        <v>12</v>
      </c>
      <c r="H60" s="20">
        <v>999167</v>
      </c>
      <c r="I60" s="20">
        <v>2949620</v>
      </c>
      <c r="J60" s="20">
        <v>160761405</v>
      </c>
      <c r="K60" s="20">
        <v>74119588</v>
      </c>
      <c r="L60" s="20">
        <v>46515428</v>
      </c>
      <c r="M60" s="26">
        <v>1.59344095468712</v>
      </c>
      <c r="N60" s="27">
        <v>0.4728131463407824</v>
      </c>
    </row>
    <row r="61" spans="2:14">
      <c r="B61">
        <v>53</v>
      </c>
      <c r="C61" s="15">
        <v>3</v>
      </c>
      <c r="D61" s="17">
        <v>5220914</v>
      </c>
      <c r="E61" s="15">
        <v>187919</v>
      </c>
      <c r="F61" s="15">
        <v>45</v>
      </c>
      <c r="G61" s="15">
        <v>12</v>
      </c>
      <c r="H61" s="17">
        <v>999167</v>
      </c>
      <c r="I61" s="17">
        <v>2999368</v>
      </c>
      <c r="J61" s="17">
        <v>165982319</v>
      </c>
      <c r="K61" s="17">
        <v>77118956</v>
      </c>
      <c r="L61" s="17">
        <v>47514595</v>
      </c>
      <c r="M61" s="24">
        <v>1.623058262413896</v>
      </c>
      <c r="N61" s="25">
        <v>0.4758552403607445</v>
      </c>
    </row>
    <row r="62" spans="2:14">
      <c r="B62" s="18">
        <v>54</v>
      </c>
      <c r="C62" s="19">
        <v>3</v>
      </c>
      <c r="D62" s="20">
        <v>5284577</v>
      </c>
      <c r="E62" s="19">
        <v>188694</v>
      </c>
      <c r="F62" s="19">
        <v>45</v>
      </c>
      <c r="G62" s="19">
        <v>12</v>
      </c>
      <c r="H62" s="20">
        <v>829167</v>
      </c>
      <c r="I62" s="20">
        <v>3221487</v>
      </c>
      <c r="J62" s="20">
        <v>171266896</v>
      </c>
      <c r="K62" s="20">
        <v>80340443</v>
      </c>
      <c r="L62" s="20">
        <v>48343762</v>
      </c>
      <c r="M62" s="26">
        <v>1.66185749052794</v>
      </c>
      <c r="N62" s="27">
        <v>0.4789169073052285</v>
      </c>
    </row>
    <row r="63" spans="2:14">
      <c r="B63">
        <v>55</v>
      </c>
      <c r="C63" s="15">
        <v>3</v>
      </c>
      <c r="D63" s="17">
        <v>5350030</v>
      </c>
      <c r="E63" s="15">
        <v>189480</v>
      </c>
      <c r="F63" s="15">
        <v>45</v>
      </c>
      <c r="G63" s="15">
        <v>12</v>
      </c>
      <c r="H63" s="17">
        <v>829167</v>
      </c>
      <c r="I63" s="17">
        <v>3275078</v>
      </c>
      <c r="J63" s="17">
        <v>176616926</v>
      </c>
      <c r="K63" s="17">
        <v>83615521</v>
      </c>
      <c r="L63" s="17">
        <v>49172929</v>
      </c>
      <c r="M63" s="24">
        <v>1.700438080473099</v>
      </c>
      <c r="N63" s="25">
        <v>0.48199827310702</v>
      </c>
    </row>
    <row r="64" spans="2:14">
      <c r="B64" s="18">
        <v>56</v>
      </c>
      <c r="C64" s="19">
        <v>3</v>
      </c>
      <c r="D64" s="20">
        <v>5416006</v>
      </c>
      <c r="E64" s="19">
        <v>190268</v>
      </c>
      <c r="F64" s="19">
        <v>45</v>
      </c>
      <c r="G64" s="19">
        <v>12</v>
      </c>
      <c r="H64" s="20">
        <v>829167</v>
      </c>
      <c r="I64" s="20">
        <v>3329105</v>
      </c>
      <c r="J64" s="20">
        <v>182032932</v>
      </c>
      <c r="K64" s="20">
        <v>86944626</v>
      </c>
      <c r="L64" s="20">
        <v>50002096</v>
      </c>
      <c r="M64" s="26">
        <v>1.738819628681166</v>
      </c>
      <c r="N64" s="27">
        <v>0.4850994645091602</v>
      </c>
    </row>
    <row r="65" spans="2:14">
      <c r="B65">
        <v>57</v>
      </c>
      <c r="C65" s="15">
        <v>3</v>
      </c>
      <c r="D65" s="17">
        <v>5481173</v>
      </c>
      <c r="E65" s="15">
        <v>191045</v>
      </c>
      <c r="F65" s="15">
        <v>45</v>
      </c>
      <c r="G65" s="15">
        <v>12</v>
      </c>
      <c r="H65" s="17">
        <v>829167</v>
      </c>
      <c r="I65" s="17">
        <v>3382469</v>
      </c>
      <c r="J65" s="17">
        <v>187514105</v>
      </c>
      <c r="K65" s="17">
        <v>90327095</v>
      </c>
      <c r="L65" s="17">
        <v>50831263</v>
      </c>
      <c r="M65" s="24">
        <v>1.77699883239179</v>
      </c>
      <c r="N65" s="25">
        <v>0.4882206090701589</v>
      </c>
    </row>
    <row r="66" spans="2:14">
      <c r="B66" s="18">
        <v>58</v>
      </c>
      <c r="C66" s="19">
        <v>3</v>
      </c>
      <c r="D66" s="20">
        <v>5544236</v>
      </c>
      <c r="E66" s="19">
        <v>191805</v>
      </c>
      <c r="F66" s="19">
        <v>45</v>
      </c>
      <c r="G66" s="19">
        <v>12</v>
      </c>
      <c r="H66" s="20">
        <v>829167</v>
      </c>
      <c r="I66" s="20">
        <v>3434111</v>
      </c>
      <c r="J66" s="20">
        <v>193058341</v>
      </c>
      <c r="K66" s="20">
        <v>93761206</v>
      </c>
      <c r="L66" s="20">
        <v>51660430</v>
      </c>
      <c r="M66" s="26">
        <v>1.814952101637559</v>
      </c>
      <c r="N66" s="27">
        <v>0.4913618351692404</v>
      </c>
    </row>
    <row r="67" spans="2:14">
      <c r="B67">
        <v>59</v>
      </c>
      <c r="C67" s="15">
        <v>3</v>
      </c>
      <c r="D67" s="17">
        <v>5604046</v>
      </c>
      <c r="E67" s="15">
        <v>192534</v>
      </c>
      <c r="F67" s="15">
        <v>45</v>
      </c>
      <c r="G67" s="15">
        <v>12</v>
      </c>
      <c r="H67" s="17">
        <v>829167</v>
      </c>
      <c r="I67" s="17">
        <v>3483088</v>
      </c>
      <c r="J67" s="17">
        <v>198662387</v>
      </c>
      <c r="K67" s="17">
        <v>97244294</v>
      </c>
      <c r="L67" s="17">
        <v>52489597</v>
      </c>
      <c r="M67" s="24">
        <v>1.852639371569189</v>
      </c>
      <c r="N67" s="25">
        <v>0.4945232720116259</v>
      </c>
    </row>
    <row r="68" spans="2:14">
      <c r="B68" s="18">
        <v>60</v>
      </c>
      <c r="C68" s="19">
        <v>3</v>
      </c>
      <c r="D68" s="20">
        <v>5659673</v>
      </c>
      <c r="E68" s="19">
        <v>193228</v>
      </c>
      <c r="F68" s="19">
        <v>45</v>
      </c>
      <c r="G68" s="19">
        <v>12</v>
      </c>
      <c r="H68" s="20">
        <v>829167</v>
      </c>
      <c r="I68" s="20">
        <v>3528634</v>
      </c>
      <c r="J68" s="20">
        <v>204322061</v>
      </c>
      <c r="K68" s="20">
        <v>100772928</v>
      </c>
      <c r="L68" s="20">
        <v>53318764</v>
      </c>
      <c r="M68" s="26">
        <v>1.890008703127477</v>
      </c>
      <c r="N68" s="27">
        <v>0.4977050496338462</v>
      </c>
    </row>
    <row r="69" spans="2:14">
      <c r="B69">
        <v>61</v>
      </c>
      <c r="C69" s="15">
        <v>3</v>
      </c>
      <c r="D69" s="17">
        <v>5710453</v>
      </c>
      <c r="E69" s="15">
        <v>193881</v>
      </c>
      <c r="F69" s="15">
        <v>45</v>
      </c>
      <c r="G69" s="15">
        <v>12</v>
      </c>
      <c r="H69" s="17">
        <v>829167</v>
      </c>
      <c r="I69" s="17">
        <v>3570210</v>
      </c>
      <c r="J69" s="17">
        <v>210032514</v>
      </c>
      <c r="K69" s="17">
        <v>104343138</v>
      </c>
      <c r="L69" s="17">
        <v>54147931</v>
      </c>
      <c r="M69" s="24">
        <v>1.927001384411161</v>
      </c>
      <c r="N69" s="25">
        <v>0.500907298909091</v>
      </c>
    </row>
    <row r="70" spans="2:14">
      <c r="B70" s="18">
        <v>62</v>
      </c>
      <c r="C70" s="19">
        <v>3</v>
      </c>
      <c r="D70" s="20">
        <v>5755996</v>
      </c>
      <c r="E70" s="19">
        <v>194488</v>
      </c>
      <c r="F70" s="19">
        <v>45</v>
      </c>
      <c r="G70" s="19">
        <v>12</v>
      </c>
      <c r="H70" s="20">
        <v>829167</v>
      </c>
      <c r="I70" s="20">
        <v>3607490</v>
      </c>
      <c r="J70" s="20">
        <v>215788510</v>
      </c>
      <c r="K70" s="20">
        <v>107950628</v>
      </c>
      <c r="L70" s="20">
        <v>54977098</v>
      </c>
      <c r="M70" s="26">
        <v>1.963556315758973</v>
      </c>
      <c r="N70" s="27">
        <v>0.5041301515525927</v>
      </c>
    </row>
    <row r="71" spans="2:14">
      <c r="B71">
        <v>63</v>
      </c>
      <c r="C71" s="15">
        <v>3</v>
      </c>
      <c r="D71" s="17">
        <v>5796167</v>
      </c>
      <c r="E71" s="15">
        <v>195050</v>
      </c>
      <c r="F71" s="15">
        <v>45</v>
      </c>
      <c r="G71" s="15">
        <v>12</v>
      </c>
      <c r="H71" s="17">
        <v>829167</v>
      </c>
      <c r="I71" s="17">
        <v>3640365</v>
      </c>
      <c r="J71" s="17">
        <v>221584677</v>
      </c>
      <c r="K71" s="17">
        <v>111590993</v>
      </c>
      <c r="L71" s="17">
        <v>55806265</v>
      </c>
      <c r="M71" s="24">
        <v>1.999614075588108</v>
      </c>
      <c r="N71" s="25">
        <v>0.5073737401270426</v>
      </c>
    </row>
    <row r="72" spans="2:14">
      <c r="B72" s="18">
        <v>64</v>
      </c>
      <c r="C72" s="19">
        <v>3</v>
      </c>
      <c r="D72" s="20">
        <v>5831046</v>
      </c>
      <c r="E72" s="19">
        <v>195567</v>
      </c>
      <c r="F72" s="19">
        <v>45</v>
      </c>
      <c r="G72" s="19">
        <v>12</v>
      </c>
      <c r="H72" s="20">
        <v>829167</v>
      </c>
      <c r="I72" s="20">
        <v>3668903</v>
      </c>
      <c r="J72" s="20">
        <v>227415723</v>
      </c>
      <c r="K72" s="20">
        <v>115259896</v>
      </c>
      <c r="L72" s="20">
        <v>56635432</v>
      </c>
      <c r="M72" s="26">
        <v>2.035119922807334</v>
      </c>
      <c r="N72" s="27">
        <v>0.5106381980480451</v>
      </c>
    </row>
    <row r="73" spans="2:14">
      <c r="B73">
        <v>65</v>
      </c>
      <c r="C73" s="15">
        <v>3</v>
      </c>
      <c r="D73" s="17">
        <v>5860882</v>
      </c>
      <c r="E73" s="15">
        <v>196040</v>
      </c>
      <c r="F73" s="15">
        <v>45</v>
      </c>
      <c r="G73" s="15">
        <v>12</v>
      </c>
      <c r="H73" s="17">
        <v>829167</v>
      </c>
      <c r="I73" s="17">
        <v>3693305</v>
      </c>
      <c r="J73" s="17">
        <v>233276605</v>
      </c>
      <c r="K73" s="17">
        <v>118953201</v>
      </c>
      <c r="L73" s="17">
        <v>57464599</v>
      </c>
      <c r="M73" s="24">
        <v>2.070025773607156</v>
      </c>
      <c r="N73" s="25">
        <v>0.5139236595896041</v>
      </c>
    </row>
    <row r="74" spans="2:14">
      <c r="B74" s="18">
        <v>66</v>
      </c>
      <c r="C74" s="19">
        <v>3</v>
      </c>
      <c r="D74" s="20">
        <v>5886033</v>
      </c>
      <c r="E74" s="19">
        <v>196473</v>
      </c>
      <c r="F74" s="19">
        <v>45</v>
      </c>
      <c r="G74" s="19">
        <v>12</v>
      </c>
      <c r="H74" s="20">
        <v>829167</v>
      </c>
      <c r="I74" s="20">
        <v>3713866</v>
      </c>
      <c r="J74" s="20">
        <v>239162638</v>
      </c>
      <c r="K74" s="20">
        <v>122667067</v>
      </c>
      <c r="L74" s="20">
        <v>58293766</v>
      </c>
      <c r="M74" s="26">
        <v>2.104291340518298</v>
      </c>
      <c r="N74" s="27">
        <v>0.5172302598896468</v>
      </c>
    </row>
    <row r="75" spans="2:14">
      <c r="B75">
        <v>67</v>
      </c>
      <c r="C75" s="15">
        <v>3</v>
      </c>
      <c r="D75" s="17">
        <v>5906931</v>
      </c>
      <c r="E75" s="15">
        <v>196870</v>
      </c>
      <c r="F75" s="15">
        <v>45</v>
      </c>
      <c r="G75" s="15">
        <v>12</v>
      </c>
      <c r="H75" s="17">
        <v>829167</v>
      </c>
      <c r="I75" s="17">
        <v>3730938</v>
      </c>
      <c r="J75" s="17">
        <v>245069570</v>
      </c>
      <c r="K75" s="17">
        <v>126398005</v>
      </c>
      <c r="L75" s="17">
        <v>59122933</v>
      </c>
      <c r="M75" s="24">
        <v>2.137884549807433</v>
      </c>
      <c r="N75" s="25">
        <v>0.5205581349555817</v>
      </c>
    </row>
    <row r="76" spans="2:14">
      <c r="B76" s="18">
        <v>68</v>
      </c>
      <c r="C76" s="19">
        <v>3</v>
      </c>
      <c r="D76" s="20">
        <v>5924034</v>
      </c>
      <c r="E76" s="19">
        <v>197233</v>
      </c>
      <c r="F76" s="19">
        <v>45</v>
      </c>
      <c r="G76" s="19">
        <v>12</v>
      </c>
      <c r="H76" s="20">
        <v>829167</v>
      </c>
      <c r="I76" s="20">
        <v>3744900</v>
      </c>
      <c r="J76" s="20">
        <v>250993604</v>
      </c>
      <c r="K76" s="20">
        <v>130142905</v>
      </c>
      <c r="L76" s="20">
        <v>59952100</v>
      </c>
      <c r="M76" s="26">
        <v>2.170781423836696</v>
      </c>
      <c r="N76" s="27">
        <v>0.5239074216698931</v>
      </c>
    </row>
    <row r="77" spans="2:14">
      <c r="B77">
        <v>69</v>
      </c>
      <c r="C77" s="15">
        <v>3</v>
      </c>
      <c r="D77" s="17">
        <v>5937801</v>
      </c>
      <c r="E77" s="15">
        <v>197568</v>
      </c>
      <c r="F77" s="15">
        <v>45</v>
      </c>
      <c r="G77" s="15">
        <v>12</v>
      </c>
      <c r="H77" s="17">
        <v>829167</v>
      </c>
      <c r="I77" s="17">
        <v>3756126</v>
      </c>
      <c r="J77" s="17">
        <v>256931405</v>
      </c>
      <c r="K77" s="17">
        <v>133899031</v>
      </c>
      <c r="L77" s="17">
        <v>60781267</v>
      </c>
      <c r="M77" s="24">
        <v>2.202965446574189</v>
      </c>
      <c r="N77" s="25">
        <v>0.5272782577957715</v>
      </c>
    </row>
    <row r="78" spans="2:14">
      <c r="B78" s="18">
        <v>70</v>
      </c>
      <c r="C78" s="19">
        <v>3</v>
      </c>
      <c r="D78" s="20">
        <v>5948673</v>
      </c>
      <c r="E78" s="19">
        <v>197877</v>
      </c>
      <c r="F78" s="19">
        <v>45</v>
      </c>
      <c r="G78" s="19">
        <v>12</v>
      </c>
      <c r="H78" s="20">
        <v>829167</v>
      </c>
      <c r="I78" s="20">
        <v>3764978</v>
      </c>
      <c r="J78" s="20">
        <v>262880078</v>
      </c>
      <c r="K78" s="20">
        <v>137664009</v>
      </c>
      <c r="L78" s="20">
        <v>61610434</v>
      </c>
      <c r="M78" s="26">
        <v>2.234426866721958</v>
      </c>
      <c r="N78" s="27">
        <v>0.5306707819827797</v>
      </c>
    </row>
    <row r="79" spans="2:14">
      <c r="B79">
        <v>71</v>
      </c>
      <c r="C79" s="15">
        <v>3</v>
      </c>
      <c r="D79" s="17">
        <v>5957056</v>
      </c>
      <c r="E79" s="15">
        <v>198165</v>
      </c>
      <c r="F79" s="15">
        <v>45</v>
      </c>
      <c r="G79" s="15">
        <v>12</v>
      </c>
      <c r="H79" s="17">
        <v>829167</v>
      </c>
      <c r="I79" s="17">
        <v>3771789</v>
      </c>
      <c r="J79" s="17">
        <v>268837135</v>
      </c>
      <c r="K79" s="17">
        <v>141435798</v>
      </c>
      <c r="L79" s="17">
        <v>62439601</v>
      </c>
      <c r="M79" s="24">
        <v>2.265161784105571</v>
      </c>
      <c r="N79" s="25">
        <v>0.534085133772556</v>
      </c>
    </row>
    <row r="80" spans="2:14">
      <c r="B80" s="18">
        <v>72</v>
      </c>
      <c r="C80" s="19">
        <v>3</v>
      </c>
      <c r="D80" s="20">
        <v>5963319</v>
      </c>
      <c r="E80" s="19">
        <v>198435</v>
      </c>
      <c r="F80" s="19">
        <v>45</v>
      </c>
      <c r="G80" s="19">
        <v>12</v>
      </c>
      <c r="H80" s="20">
        <v>829167</v>
      </c>
      <c r="I80" s="20">
        <v>3776860</v>
      </c>
      <c r="J80" s="20">
        <v>274800454</v>
      </c>
      <c r="K80" s="20">
        <v>145212658</v>
      </c>
      <c r="L80" s="20">
        <v>63268768</v>
      </c>
      <c r="M80" s="26">
        <v>2.295171260486691</v>
      </c>
      <c r="N80" s="27">
        <v>0.5375214536045538</v>
      </c>
    </row>
    <row r="81" spans="2:14">
      <c r="B81">
        <v>73</v>
      </c>
      <c r="C81" s="15">
        <v>3</v>
      </c>
      <c r="D81" s="17">
        <v>5967787</v>
      </c>
      <c r="E81" s="15">
        <v>198688</v>
      </c>
      <c r="F81" s="15">
        <v>45</v>
      </c>
      <c r="G81" s="15">
        <v>12</v>
      </c>
      <c r="H81" s="17">
        <v>829167</v>
      </c>
      <c r="I81" s="17">
        <v>3780461</v>
      </c>
      <c r="J81" s="17">
        <v>280768240</v>
      </c>
      <c r="K81" s="17">
        <v>148993119</v>
      </c>
      <c r="L81" s="17">
        <v>64097935</v>
      </c>
      <c r="M81" s="24">
        <v>2.32446051499163</v>
      </c>
      <c r="N81" s="25">
        <v>0.5409798828218183</v>
      </c>
    </row>
    <row r="82" spans="2:14">
      <c r="B82" s="18">
        <v>74</v>
      </c>
      <c r="C82" s="19">
        <v>3</v>
      </c>
      <c r="D82" s="20">
        <v>5970743</v>
      </c>
      <c r="E82" s="19">
        <v>198928</v>
      </c>
      <c r="F82" s="19">
        <v>45</v>
      </c>
      <c r="G82" s="19">
        <v>12</v>
      </c>
      <c r="H82" s="20">
        <v>829167</v>
      </c>
      <c r="I82" s="20">
        <v>3782821</v>
      </c>
      <c r="J82" s="20">
        <v>286738984</v>
      </c>
      <c r="K82" s="20">
        <v>152775940</v>
      </c>
      <c r="L82" s="20">
        <v>64927102</v>
      </c>
      <c r="M82" s="26">
        <v>2.353038027170841</v>
      </c>
      <c r="N82" s="27">
        <v>0.5444605636768001</v>
      </c>
    </row>
    <row r="83" spans="2:14">
      <c r="B83">
        <v>75</v>
      </c>
      <c r="C83" s="15">
        <v>3</v>
      </c>
      <c r="D83" s="17">
        <v>5972435</v>
      </c>
      <c r="E83" s="15">
        <v>199158</v>
      </c>
      <c r="F83" s="15">
        <v>45</v>
      </c>
      <c r="G83" s="15">
        <v>12</v>
      </c>
      <c r="H83" s="17">
        <v>829167</v>
      </c>
      <c r="I83" s="17">
        <v>3784144</v>
      </c>
      <c r="J83" s="17">
        <v>292711418</v>
      </c>
      <c r="K83" s="17">
        <v>156560084</v>
      </c>
      <c r="L83" s="17">
        <v>65756269</v>
      </c>
      <c r="M83" s="24">
        <v>2.380914951242139</v>
      </c>
      <c r="N83" s="25">
        <v>0.547963639337206</v>
      </c>
    </row>
    <row r="84" spans="2:14">
      <c r="B84" s="18">
        <v>76</v>
      </c>
      <c r="C84" s="19">
        <v>3</v>
      </c>
      <c r="D84" s="20">
        <v>5973069</v>
      </c>
      <c r="E84" s="19">
        <v>199377</v>
      </c>
      <c r="F84" s="19">
        <v>45</v>
      </c>
      <c r="G84" s="19">
        <v>12</v>
      </c>
      <c r="H84" s="20">
        <v>829167</v>
      </c>
      <c r="I84" s="20">
        <v>3784600</v>
      </c>
      <c r="J84" s="20">
        <v>298684487</v>
      </c>
      <c r="K84" s="20">
        <v>160344684</v>
      </c>
      <c r="L84" s="20">
        <v>66585436</v>
      </c>
      <c r="M84" s="26">
        <v>2.408104438934664</v>
      </c>
      <c r="N84" s="27">
        <v>0.5514892538918887</v>
      </c>
    </row>
    <row r="85" spans="2:14">
      <c r="B85">
        <v>77</v>
      </c>
      <c r="C85" s="15">
        <v>3</v>
      </c>
      <c r="D85" s="17">
        <v>5972824</v>
      </c>
      <c r="E85" s="15">
        <v>199588</v>
      </c>
      <c r="F85" s="15">
        <v>45</v>
      </c>
      <c r="G85" s="15">
        <v>12</v>
      </c>
      <c r="H85" s="17">
        <v>829167</v>
      </c>
      <c r="I85" s="17">
        <v>3784336</v>
      </c>
      <c r="J85" s="17">
        <v>304657312</v>
      </c>
      <c r="K85" s="17">
        <v>164129020</v>
      </c>
      <c r="L85" s="17">
        <v>67414603</v>
      </c>
      <c r="M85" s="24">
        <v>2.4346211754744</v>
      </c>
      <c r="N85" s="25">
        <v>0.5550375523567725</v>
      </c>
    </row>
    <row r="86" spans="2:14">
      <c r="B86" s="18">
        <v>78</v>
      </c>
      <c r="C86" s="19">
        <v>3</v>
      </c>
      <c r="D86" s="20">
        <v>5971849</v>
      </c>
      <c r="E86" s="19">
        <v>199793</v>
      </c>
      <c r="F86" s="19">
        <v>45</v>
      </c>
      <c r="G86" s="19">
        <v>12</v>
      </c>
      <c r="H86" s="20">
        <v>829167</v>
      </c>
      <c r="I86" s="20">
        <v>3783471</v>
      </c>
      <c r="J86" s="20">
        <v>310629160</v>
      </c>
      <c r="K86" s="20">
        <v>167912491</v>
      </c>
      <c r="L86" s="20">
        <v>68243770</v>
      </c>
      <c r="M86" s="26">
        <v>2.460480876129792</v>
      </c>
      <c r="N86" s="27">
        <v>0.5586086806808186</v>
      </c>
    </row>
    <row r="87" spans="2:14">
      <c r="B87">
        <v>79</v>
      </c>
      <c r="C87" s="15">
        <v>3</v>
      </c>
      <c r="D87" s="17">
        <v>5970268</v>
      </c>
      <c r="E87" s="15">
        <v>199994</v>
      </c>
      <c r="F87" s="15">
        <v>45</v>
      </c>
      <c r="G87" s="15">
        <v>12</v>
      </c>
      <c r="H87" s="17">
        <v>829167</v>
      </c>
      <c r="I87" s="17">
        <v>3782111</v>
      </c>
      <c r="J87" s="17">
        <v>316599429</v>
      </c>
      <c r="K87" s="17">
        <v>171694602</v>
      </c>
      <c r="L87" s="17">
        <v>69072937</v>
      </c>
      <c r="M87" s="24">
        <v>2.485700036180595</v>
      </c>
      <c r="N87" s="25">
        <v>0.5622027857520283</v>
      </c>
    </row>
    <row r="88" spans="2:14">
      <c r="B88" s="18">
        <v>80</v>
      </c>
      <c r="C88" s="19">
        <v>3</v>
      </c>
      <c r="D88" s="20">
        <v>5968186</v>
      </c>
      <c r="E88" s="19">
        <v>200188</v>
      </c>
      <c r="F88" s="19">
        <v>45</v>
      </c>
      <c r="G88" s="19">
        <v>12</v>
      </c>
      <c r="H88" s="20">
        <v>829167</v>
      </c>
      <c r="I88" s="20">
        <v>3780340</v>
      </c>
      <c r="J88" s="20">
        <v>322567615</v>
      </c>
      <c r="K88" s="20">
        <v>175474942</v>
      </c>
      <c r="L88" s="20">
        <v>69902104</v>
      </c>
      <c r="M88" s="26">
        <v>2.510295569930198</v>
      </c>
      <c r="N88" s="27">
        <v>0.5658200154034847</v>
      </c>
    </row>
    <row r="89" spans="2:14">
      <c r="B89">
        <v>81</v>
      </c>
      <c r="C89" s="15">
        <v>3</v>
      </c>
      <c r="D89" s="17">
        <v>5965690</v>
      </c>
      <c r="E89" s="15">
        <v>200379</v>
      </c>
      <c r="F89" s="15">
        <v>45</v>
      </c>
      <c r="G89" s="15">
        <v>12</v>
      </c>
      <c r="H89" s="17">
        <v>829167</v>
      </c>
      <c r="I89" s="17">
        <v>3778227</v>
      </c>
      <c r="J89" s="17">
        <v>328533305</v>
      </c>
      <c r="K89" s="17">
        <v>179253169</v>
      </c>
      <c r="L89" s="17">
        <v>70731271</v>
      </c>
      <c r="M89" s="24">
        <v>2.53428457407474</v>
      </c>
      <c r="N89" s="25">
        <v>0.5694605184194332</v>
      </c>
    </row>
    <row r="90" spans="2:14">
      <c r="B90" s="18">
        <v>82</v>
      </c>
      <c r="C90" s="19">
        <v>3</v>
      </c>
      <c r="D90" s="20">
        <v>5962850</v>
      </c>
      <c r="E90" s="19">
        <v>200566</v>
      </c>
      <c r="F90" s="19">
        <v>45</v>
      </c>
      <c r="G90" s="19">
        <v>12</v>
      </c>
      <c r="H90" s="20">
        <v>829167</v>
      </c>
      <c r="I90" s="20">
        <v>3775834</v>
      </c>
      <c r="J90" s="20">
        <v>334496155</v>
      </c>
      <c r="K90" s="20">
        <v>183029003</v>
      </c>
      <c r="L90" s="20">
        <v>71560438</v>
      </c>
      <c r="M90" s="26">
        <v>2.557684219316824</v>
      </c>
      <c r="N90" s="27">
        <v>0.5731244445414021</v>
      </c>
    </row>
    <row r="91" spans="2:14">
      <c r="B91">
        <v>83</v>
      </c>
      <c r="C91" s="15">
        <v>3</v>
      </c>
      <c r="D91" s="17">
        <v>5959727</v>
      </c>
      <c r="E91" s="15">
        <v>200751</v>
      </c>
      <c r="F91" s="15">
        <v>45</v>
      </c>
      <c r="G91" s="15">
        <v>12</v>
      </c>
      <c r="H91" s="17">
        <v>829167</v>
      </c>
      <c r="I91" s="17">
        <v>3773208</v>
      </c>
      <c r="J91" s="17">
        <v>340455883</v>
      </c>
      <c r="K91" s="17">
        <v>186802211</v>
      </c>
      <c r="L91" s="17">
        <v>72389605</v>
      </c>
      <c r="M91" s="24">
        <v>2.580511538915014</v>
      </c>
      <c r="N91" s="25">
        <v>0.5768119444743605</v>
      </c>
    </row>
    <row r="92" spans="2:14">
      <c r="B92" s="18">
        <v>84</v>
      </c>
      <c r="C92" s="19">
        <v>3</v>
      </c>
      <c r="D92" s="20">
        <v>5956370</v>
      </c>
      <c r="E92" s="19">
        <v>200933</v>
      </c>
      <c r="F92" s="19">
        <v>45</v>
      </c>
      <c r="G92" s="19">
        <v>12</v>
      </c>
      <c r="H92" s="20">
        <v>829167</v>
      </c>
      <c r="I92" s="20">
        <v>3770389</v>
      </c>
      <c r="J92" s="20">
        <v>346412252</v>
      </c>
      <c r="K92" s="20">
        <v>190572600</v>
      </c>
      <c r="L92" s="20">
        <v>73218772</v>
      </c>
      <c r="M92" s="26">
        <v>2.602783340862368</v>
      </c>
      <c r="N92" s="27">
        <v>0.5805231698929182</v>
      </c>
    </row>
  </sheetData>
  <mergeCells count="11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3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213</v>
      </c>
      <c r="C2" s="1"/>
      <c r="D2" s="1"/>
      <c r="E2" s="1"/>
    </row>
    <row r="4" spans="2:5">
      <c r="B4" s="3" t="s">
        <v>214</v>
      </c>
      <c r="C4" s="3"/>
      <c r="D4" s="3"/>
      <c r="E4" s="3"/>
    </row>
    <row r="5" spans="2:5">
      <c r="C5" s="10" t="s">
        <v>86</v>
      </c>
      <c r="D5" s="12" t="s">
        <v>87</v>
      </c>
      <c r="E5" s="10" t="s">
        <v>88</v>
      </c>
    </row>
    <row r="6" spans="2:5">
      <c r="B6" s="4" t="s">
        <v>215</v>
      </c>
      <c r="C6" s="17">
        <v>253448193</v>
      </c>
      <c r="D6" s="17">
        <v>346412252</v>
      </c>
      <c r="E6" s="17">
        <v>446897545</v>
      </c>
    </row>
    <row r="7" spans="2:5">
      <c r="B7" s="4" t="s">
        <v>216</v>
      </c>
      <c r="C7" s="17">
        <v>126344635</v>
      </c>
      <c r="D7" s="17">
        <v>190572600</v>
      </c>
      <c r="E7" s="17">
        <v>257023817</v>
      </c>
    </row>
    <row r="8" spans="2:5">
      <c r="B8" s="4" t="s">
        <v>200</v>
      </c>
      <c r="C8" s="17">
        <v>65668771</v>
      </c>
      <c r="D8" s="17">
        <v>73218772</v>
      </c>
      <c r="E8" s="17">
        <v>84413774</v>
      </c>
    </row>
    <row r="9" spans="2:5">
      <c r="B9" s="4" t="s">
        <v>217</v>
      </c>
      <c r="C9" s="23" t="s">
        <v>218</v>
      </c>
      <c r="D9" s="23" t="s">
        <v>199</v>
      </c>
      <c r="E9" s="23" t="s">
        <v>219</v>
      </c>
    </row>
    <row r="10" spans="2:5">
      <c r="B10" s="4" t="s">
        <v>220</v>
      </c>
      <c r="C10" s="23" t="s">
        <v>221</v>
      </c>
      <c r="D10" s="23" t="s">
        <v>222</v>
      </c>
      <c r="E10" s="23" t="s">
        <v>223</v>
      </c>
    </row>
    <row r="11" spans="2:5">
      <c r="B11" s="4" t="s">
        <v>224</v>
      </c>
      <c r="C11" s="17">
        <v>4806579</v>
      </c>
      <c r="D11" s="17">
        <v>5973069</v>
      </c>
      <c r="E11" s="17">
        <v>6791355</v>
      </c>
    </row>
    <row r="12" spans="2:5">
      <c r="B12" s="4" t="s">
        <v>225</v>
      </c>
      <c r="C12" s="15">
        <v>84</v>
      </c>
      <c r="D12" s="15">
        <v>76</v>
      </c>
      <c r="E12" s="15">
        <v>47</v>
      </c>
    </row>
    <row r="13" spans="2:5">
      <c r="B13" s="4" t="s">
        <v>226</v>
      </c>
      <c r="C13" s="17">
        <v>5428150</v>
      </c>
      <c r="D13" s="17">
        <v>9478142</v>
      </c>
      <c r="E13" s="17">
        <v>17233842</v>
      </c>
    </row>
    <row r="14" spans="2:5">
      <c r="B14" s="4" t="s">
        <v>227</v>
      </c>
      <c r="C14" s="17">
        <v>52019786</v>
      </c>
      <c r="D14" s="17">
        <v>83432022</v>
      </c>
      <c r="E14" s="17">
        <v>128387464</v>
      </c>
    </row>
    <row r="15" spans="2:5">
      <c r="B15" s="4" t="s">
        <v>228</v>
      </c>
      <c r="C15" s="15">
        <v>6076</v>
      </c>
      <c r="D15" s="15">
        <v>8209</v>
      </c>
      <c r="E15" s="15">
        <v>9434</v>
      </c>
    </row>
    <row r="16" spans="2:5">
      <c r="B16" s="4" t="s">
        <v>229</v>
      </c>
      <c r="C16" s="25">
        <v>0.5380306930179558</v>
      </c>
      <c r="D16" s="25">
        <v>0.5104207113418312</v>
      </c>
      <c r="E16" s="25">
        <v>0.4919935753954522</v>
      </c>
    </row>
    <row r="17" spans="2:5">
      <c r="B17" s="4" t="s">
        <v>230</v>
      </c>
      <c r="C17" s="25">
        <v>0.4296393391162245</v>
      </c>
      <c r="D17" s="25">
        <v>0.3731208068961904</v>
      </c>
      <c r="E17" s="25">
        <v>0.3391511448110551</v>
      </c>
    </row>
    <row r="18" spans="2:5">
      <c r="B18" s="4" t="s">
        <v>231</v>
      </c>
      <c r="C18" s="25">
        <v>0.03232996786581968</v>
      </c>
      <c r="D18" s="25">
        <v>0.1164585135160523</v>
      </c>
      <c r="E18" s="25">
        <v>0.1688552596546486</v>
      </c>
    </row>
    <row r="19" spans="2:5">
      <c r="B19" s="4" t="s">
        <v>232</v>
      </c>
      <c r="C19" s="17">
        <v>136362908</v>
      </c>
      <c r="D19" s="17">
        <v>176815984</v>
      </c>
      <c r="E19" s="17">
        <v>219870721</v>
      </c>
    </row>
    <row r="20" spans="2:5">
      <c r="B20" s="4" t="s">
        <v>233</v>
      </c>
      <c r="C20" s="17">
        <v>108891315</v>
      </c>
      <c r="D20" s="17">
        <v>129253616</v>
      </c>
      <c r="E20" s="17">
        <v>151565814</v>
      </c>
    </row>
    <row r="21" spans="2:5">
      <c r="B21" s="4" t="s">
        <v>234</v>
      </c>
      <c r="C21" s="17">
        <v>8193972</v>
      </c>
      <c r="D21" s="17">
        <v>40342655</v>
      </c>
      <c r="E21" s="17">
        <v>75461001</v>
      </c>
    </row>
    <row r="24" spans="2:5">
      <c r="B24" s="3" t="s">
        <v>235</v>
      </c>
      <c r="C24" s="3"/>
      <c r="D24" s="3"/>
      <c r="E24" s="3"/>
    </row>
    <row r="25" spans="2:5" ht="30" customHeight="1">
      <c r="B25" s="11" t="s">
        <v>236</v>
      </c>
      <c r="C25" s="11"/>
      <c r="D25" s="11"/>
      <c r="E25" s="11"/>
    </row>
    <row r="26" spans="2:5" ht="30" customHeight="1">
      <c r="B26" s="11" t="s">
        <v>237</v>
      </c>
      <c r="C26" s="11"/>
      <c r="D26" s="11"/>
      <c r="E26" s="11"/>
    </row>
    <row r="27" spans="2:5" ht="30" customHeight="1">
      <c r="B27" s="11" t="s">
        <v>238</v>
      </c>
      <c r="C27" s="11"/>
      <c r="D27" s="11"/>
      <c r="E27" s="11"/>
    </row>
    <row r="28" spans="2:5" ht="30" customHeight="1">
      <c r="B28" s="11" t="s">
        <v>239</v>
      </c>
      <c r="C28" s="11"/>
      <c r="D28" s="11"/>
      <c r="E28" s="11"/>
    </row>
    <row r="29" spans="2:5" ht="30" customHeight="1">
      <c r="B29" s="11" t="s">
        <v>240</v>
      </c>
      <c r="C29" s="11"/>
      <c r="D29" s="11"/>
      <c r="E29" s="11"/>
    </row>
    <row r="30" spans="2:5" ht="30" customHeight="1">
      <c r="B30" s="11" t="s">
        <v>241</v>
      </c>
      <c r="C30" s="11"/>
      <c r="D30" s="11"/>
      <c r="E30" s="11"/>
    </row>
  </sheetData>
  <mergeCells count="9">
    <mergeCell ref="B2:E2"/>
    <mergeCell ref="B4:E4"/>
    <mergeCell ref="B24:E24"/>
    <mergeCell ref="B25:E25"/>
    <mergeCell ref="B26:E26"/>
    <mergeCell ref="B27:E27"/>
    <mergeCell ref="B28:E28"/>
    <mergeCell ref="B29:E29"/>
    <mergeCell ref="B30:E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68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32.7109375" customWidth="1"/>
    <col min="4" max="4" width="52.7109375" customWidth="1"/>
    <col min="5" max="5" width="42.7109375" customWidth="1"/>
  </cols>
  <sheetData>
    <row r="2" spans="2:5">
      <c r="B2" s="1" t="s">
        <v>242</v>
      </c>
      <c r="C2" s="1"/>
      <c r="D2" s="1"/>
      <c r="E2" s="1"/>
    </row>
    <row r="3" spans="2:5">
      <c r="B3" s="2" t="s">
        <v>243</v>
      </c>
      <c r="C3" s="2"/>
      <c r="D3" s="2"/>
      <c r="E3" s="2"/>
    </row>
    <row r="5" spans="2:5">
      <c r="B5" s="4" t="s">
        <v>244</v>
      </c>
      <c r="C5" s="28" t="s">
        <v>245</v>
      </c>
      <c r="D5" s="11" t="s">
        <v>246</v>
      </c>
    </row>
    <row r="6" spans="2:5">
      <c r="C6" s="29" t="s">
        <v>247</v>
      </c>
      <c r="D6" s="11" t="s">
        <v>248</v>
      </c>
    </row>
    <row r="7" spans="2:5">
      <c r="C7" s="30" t="s">
        <v>249</v>
      </c>
      <c r="D7" s="11" t="s">
        <v>250</v>
      </c>
    </row>
    <row r="8" spans="2:5">
      <c r="C8" s="31" t="s">
        <v>251</v>
      </c>
      <c r="D8" s="11" t="s">
        <v>252</v>
      </c>
    </row>
    <row r="10" spans="2:5">
      <c r="B10" s="3" t="s">
        <v>253</v>
      </c>
      <c r="C10" s="3"/>
      <c r="D10" s="3"/>
      <c r="E10" s="3"/>
    </row>
    <row r="11" spans="2:5">
      <c r="B11" s="10" t="s">
        <v>254</v>
      </c>
      <c r="C11" s="10" t="s">
        <v>255</v>
      </c>
      <c r="D11" s="10" t="s">
        <v>256</v>
      </c>
      <c r="E11" s="10" t="s">
        <v>257</v>
      </c>
    </row>
    <row r="12" spans="2:5">
      <c r="B12" s="4" t="s">
        <v>258</v>
      </c>
      <c r="C12" s="28" t="s">
        <v>98</v>
      </c>
      <c r="D12" s="11" t="s">
        <v>259</v>
      </c>
      <c r="E12" s="28" t="s">
        <v>245</v>
      </c>
    </row>
    <row r="13" spans="2:5">
      <c r="B13" s="4" t="s">
        <v>260</v>
      </c>
      <c r="C13" s="28" t="s">
        <v>261</v>
      </c>
      <c r="D13" s="11" t="s">
        <v>259</v>
      </c>
      <c r="E13" s="28" t="s">
        <v>245</v>
      </c>
    </row>
    <row r="14" spans="2:5">
      <c r="B14" s="4" t="s">
        <v>262</v>
      </c>
      <c r="C14" s="28" t="s">
        <v>263</v>
      </c>
      <c r="D14" s="11" t="s">
        <v>264</v>
      </c>
      <c r="E14" s="28" t="s">
        <v>245</v>
      </c>
    </row>
    <row r="15" spans="2:5">
      <c r="B15" s="4" t="s">
        <v>265</v>
      </c>
      <c r="C15" s="28" t="s">
        <v>266</v>
      </c>
      <c r="D15" s="11" t="s">
        <v>267</v>
      </c>
      <c r="E15" s="28" t="s">
        <v>245</v>
      </c>
    </row>
    <row r="16" spans="2:5">
      <c r="B16" s="4" t="s">
        <v>268</v>
      </c>
      <c r="C16" s="28" t="s">
        <v>269</v>
      </c>
      <c r="D16" s="11" t="s">
        <v>270</v>
      </c>
      <c r="E16" s="28" t="s">
        <v>245</v>
      </c>
    </row>
    <row r="17" spans="2:5">
      <c r="B17" s="4" t="s">
        <v>271</v>
      </c>
      <c r="C17" s="28" t="s">
        <v>115</v>
      </c>
      <c r="D17" s="11" t="s">
        <v>272</v>
      </c>
      <c r="E17" s="28" t="s">
        <v>245</v>
      </c>
    </row>
    <row r="18" spans="2:5">
      <c r="B18" s="4" t="s">
        <v>273</v>
      </c>
      <c r="C18" s="28" t="s">
        <v>274</v>
      </c>
      <c r="D18" s="11" t="s">
        <v>275</v>
      </c>
      <c r="E18" s="28" t="s">
        <v>245</v>
      </c>
    </row>
    <row r="19" spans="2:5">
      <c r="B19" s="4" t="s">
        <v>276</v>
      </c>
      <c r="C19" s="28" t="s">
        <v>277</v>
      </c>
      <c r="D19" s="11" t="s">
        <v>278</v>
      </c>
      <c r="E19" s="28" t="s">
        <v>245</v>
      </c>
    </row>
    <row r="20" spans="2:5">
      <c r="B20" s="4" t="s">
        <v>279</v>
      </c>
      <c r="C20" s="28" t="s">
        <v>280</v>
      </c>
      <c r="D20" s="11" t="s">
        <v>281</v>
      </c>
      <c r="E20" s="28" t="s">
        <v>245</v>
      </c>
    </row>
    <row r="21" spans="2:5">
      <c r="B21" s="4" t="s">
        <v>282</v>
      </c>
      <c r="C21" s="28" t="s">
        <v>283</v>
      </c>
      <c r="D21" s="11" t="s">
        <v>284</v>
      </c>
      <c r="E21" s="28" t="s">
        <v>245</v>
      </c>
    </row>
    <row r="22" spans="2:5">
      <c r="B22" s="4" t="s">
        <v>285</v>
      </c>
      <c r="C22" s="28" t="s">
        <v>286</v>
      </c>
      <c r="D22" s="11" t="s">
        <v>287</v>
      </c>
      <c r="E22" s="28" t="s">
        <v>245</v>
      </c>
    </row>
    <row r="23" spans="2:5">
      <c r="B23" s="4" t="s">
        <v>155</v>
      </c>
      <c r="C23" s="28" t="s">
        <v>288</v>
      </c>
      <c r="D23" s="11" t="s">
        <v>289</v>
      </c>
      <c r="E23" s="28" t="s">
        <v>245</v>
      </c>
    </row>
    <row r="24" spans="2:5">
      <c r="B24" s="4" t="s">
        <v>157</v>
      </c>
      <c r="C24" s="28" t="s">
        <v>290</v>
      </c>
      <c r="D24" s="11" t="s">
        <v>289</v>
      </c>
      <c r="E24" s="28" t="s">
        <v>245</v>
      </c>
    </row>
    <row r="25" spans="2:5">
      <c r="B25" s="4" t="s">
        <v>291</v>
      </c>
      <c r="C25" s="28" t="s">
        <v>292</v>
      </c>
      <c r="D25" s="11" t="s">
        <v>293</v>
      </c>
      <c r="E25" s="28" t="s">
        <v>245</v>
      </c>
    </row>
    <row r="27" spans="2:5">
      <c r="B27" s="3" t="s">
        <v>294</v>
      </c>
      <c r="C27" s="3"/>
      <c r="D27" s="3"/>
      <c r="E27" s="3"/>
    </row>
    <row r="28" spans="2:5">
      <c r="B28" s="10" t="s">
        <v>85</v>
      </c>
      <c r="C28" s="10" t="s">
        <v>295</v>
      </c>
      <c r="D28" s="10" t="s">
        <v>296</v>
      </c>
      <c r="E28" s="10" t="s">
        <v>257</v>
      </c>
    </row>
    <row r="29" spans="2:5">
      <c r="B29" s="4" t="s">
        <v>297</v>
      </c>
      <c r="C29" s="29" t="s">
        <v>298</v>
      </c>
      <c r="D29" s="11" t="s">
        <v>299</v>
      </c>
      <c r="E29" s="29" t="s">
        <v>247</v>
      </c>
    </row>
    <row r="30" spans="2:5">
      <c r="B30" s="4" t="s">
        <v>300</v>
      </c>
      <c r="C30" s="29" t="s">
        <v>301</v>
      </c>
      <c r="D30" s="11" t="s">
        <v>302</v>
      </c>
      <c r="E30" s="29" t="s">
        <v>247</v>
      </c>
    </row>
    <row r="31" spans="2:5">
      <c r="B31" s="4" t="s">
        <v>303</v>
      </c>
      <c r="C31" s="29" t="s">
        <v>304</v>
      </c>
      <c r="D31" s="11" t="s">
        <v>13</v>
      </c>
      <c r="E31" s="29" t="s">
        <v>247</v>
      </c>
    </row>
    <row r="32" spans="2:5">
      <c r="B32" s="4" t="s">
        <v>305</v>
      </c>
      <c r="C32" s="29" t="s">
        <v>306</v>
      </c>
      <c r="D32" s="11" t="s">
        <v>307</v>
      </c>
      <c r="E32" s="29" t="s">
        <v>247</v>
      </c>
    </row>
    <row r="33" spans="2:5">
      <c r="B33" s="4" t="s">
        <v>308</v>
      </c>
      <c r="C33" s="29" t="s">
        <v>309</v>
      </c>
      <c r="D33" s="11" t="s">
        <v>310</v>
      </c>
      <c r="E33" s="29" t="s">
        <v>247</v>
      </c>
    </row>
    <row r="34" spans="2:5">
      <c r="B34" s="4" t="s">
        <v>311</v>
      </c>
      <c r="C34" s="29" t="s">
        <v>312</v>
      </c>
      <c r="D34" s="11" t="s">
        <v>313</v>
      </c>
      <c r="E34" s="29" t="s">
        <v>247</v>
      </c>
    </row>
    <row r="35" spans="2:5">
      <c r="B35" s="4" t="s">
        <v>314</v>
      </c>
      <c r="C35" s="29" t="s">
        <v>315</v>
      </c>
      <c r="D35" s="11" t="s">
        <v>316</v>
      </c>
      <c r="E35" s="29" t="s">
        <v>247</v>
      </c>
    </row>
    <row r="36" spans="2:5">
      <c r="B36" s="4" t="s">
        <v>317</v>
      </c>
      <c r="C36" s="29" t="s">
        <v>318</v>
      </c>
      <c r="D36" s="11" t="s">
        <v>319</v>
      </c>
      <c r="E36" s="29" t="s">
        <v>247</v>
      </c>
    </row>
    <row r="37" spans="2:5">
      <c r="B37" s="4" t="s">
        <v>320</v>
      </c>
      <c r="C37" s="29" t="s">
        <v>321</v>
      </c>
      <c r="D37" s="11" t="s">
        <v>322</v>
      </c>
      <c r="E37" s="29" t="s">
        <v>247</v>
      </c>
    </row>
    <row r="38" spans="2:5">
      <c r="B38" s="4" t="s">
        <v>323</v>
      </c>
      <c r="C38" s="29" t="s">
        <v>324</v>
      </c>
      <c r="D38" s="11" t="s">
        <v>325</v>
      </c>
      <c r="E38" s="29" t="s">
        <v>247</v>
      </c>
    </row>
    <row r="39" spans="2:5">
      <c r="B39" s="4" t="s">
        <v>326</v>
      </c>
      <c r="C39" s="29" t="s">
        <v>327</v>
      </c>
      <c r="D39" s="11" t="s">
        <v>328</v>
      </c>
      <c r="E39" s="29" t="s">
        <v>247</v>
      </c>
    </row>
    <row r="40" spans="2:5">
      <c r="B40" s="4" t="s">
        <v>329</v>
      </c>
      <c r="C40" s="29" t="s">
        <v>330</v>
      </c>
      <c r="D40" s="11" t="s">
        <v>331</v>
      </c>
      <c r="E40" s="29" t="s">
        <v>247</v>
      </c>
    </row>
    <row r="41" spans="2:5">
      <c r="B41" s="4" t="s">
        <v>58</v>
      </c>
      <c r="C41" s="29" t="s">
        <v>332</v>
      </c>
      <c r="D41" s="11" t="s">
        <v>333</v>
      </c>
      <c r="E41" s="29" t="s">
        <v>247</v>
      </c>
    </row>
    <row r="42" spans="2:5">
      <c r="B42" s="4" t="s">
        <v>64</v>
      </c>
      <c r="C42" s="29" t="s">
        <v>334</v>
      </c>
      <c r="D42" s="11" t="s">
        <v>335</v>
      </c>
      <c r="E42" s="29" t="s">
        <v>247</v>
      </c>
    </row>
    <row r="44" spans="2:5">
      <c r="B44" s="3" t="s">
        <v>336</v>
      </c>
      <c r="C44" s="3"/>
      <c r="D44" s="3"/>
      <c r="E44" s="3"/>
    </row>
    <row r="45" spans="2:5">
      <c r="B45" s="10" t="s">
        <v>337</v>
      </c>
      <c r="C45" s="10" t="s">
        <v>338</v>
      </c>
      <c r="D45" s="10" t="s">
        <v>339</v>
      </c>
      <c r="E45" s="10" t="s">
        <v>257</v>
      </c>
    </row>
    <row r="46" spans="2:5" ht="35" customHeight="1">
      <c r="B46" s="4" t="s">
        <v>340</v>
      </c>
      <c r="C46" s="30" t="s">
        <v>341</v>
      </c>
      <c r="D46" s="11" t="s">
        <v>342</v>
      </c>
      <c r="E46" s="30" t="s">
        <v>249</v>
      </c>
    </row>
    <row r="47" spans="2:5" ht="35" customHeight="1">
      <c r="B47" s="4" t="s">
        <v>343</v>
      </c>
      <c r="C47" s="30" t="s">
        <v>344</v>
      </c>
      <c r="D47" s="11" t="s">
        <v>345</v>
      </c>
      <c r="E47" s="30" t="s">
        <v>249</v>
      </c>
    </row>
    <row r="48" spans="2:5" ht="35" customHeight="1">
      <c r="B48" s="4" t="s">
        <v>346</v>
      </c>
      <c r="C48" s="30" t="s">
        <v>347</v>
      </c>
      <c r="D48" s="11" t="s">
        <v>348</v>
      </c>
      <c r="E48" s="30" t="s">
        <v>249</v>
      </c>
    </row>
    <row r="49" spans="2:5" ht="35" customHeight="1">
      <c r="B49" s="4" t="s">
        <v>349</v>
      </c>
      <c r="C49" s="30" t="s">
        <v>350</v>
      </c>
      <c r="D49" s="11" t="s">
        <v>351</v>
      </c>
      <c r="E49" s="30" t="s">
        <v>249</v>
      </c>
    </row>
    <row r="50" spans="2:5" ht="35" customHeight="1">
      <c r="B50" s="4" t="s">
        <v>352</v>
      </c>
      <c r="C50" s="30" t="s">
        <v>353</v>
      </c>
      <c r="D50" s="11" t="s">
        <v>354</v>
      </c>
      <c r="E50" s="30" t="s">
        <v>249</v>
      </c>
    </row>
    <row r="51" spans="2:5" ht="35" customHeight="1">
      <c r="B51" s="4" t="s">
        <v>355</v>
      </c>
      <c r="C51" s="30" t="s">
        <v>356</v>
      </c>
      <c r="D51" s="11" t="s">
        <v>357</v>
      </c>
      <c r="E51" s="30" t="s">
        <v>249</v>
      </c>
    </row>
    <row r="52" spans="2:5" ht="35" customHeight="1">
      <c r="B52" s="4" t="s">
        <v>358</v>
      </c>
      <c r="C52" s="30" t="s">
        <v>359</v>
      </c>
      <c r="D52" s="11" t="s">
        <v>360</v>
      </c>
      <c r="E52" s="30" t="s">
        <v>249</v>
      </c>
    </row>
    <row r="53" spans="2:5" ht="35" customHeight="1">
      <c r="B53" s="4" t="s">
        <v>361</v>
      </c>
      <c r="C53" s="30" t="s">
        <v>362</v>
      </c>
      <c r="D53" s="11" t="s">
        <v>363</v>
      </c>
      <c r="E53" s="30" t="s">
        <v>249</v>
      </c>
    </row>
    <row r="55" spans="2:5">
      <c r="B55" s="3" t="s">
        <v>364</v>
      </c>
      <c r="C55" s="3"/>
      <c r="D55" s="3"/>
      <c r="E55" s="3"/>
    </row>
    <row r="56" spans="2:5">
      <c r="B56" s="10" t="s">
        <v>365</v>
      </c>
      <c r="C56" s="10" t="s">
        <v>366</v>
      </c>
      <c r="D56" s="10" t="s">
        <v>367</v>
      </c>
      <c r="E56" s="10" t="s">
        <v>257</v>
      </c>
    </row>
    <row r="57" spans="2:5">
      <c r="B57" s="4" t="s">
        <v>368</v>
      </c>
      <c r="C57" s="31" t="s">
        <v>369</v>
      </c>
      <c r="D57" s="11" t="s">
        <v>370</v>
      </c>
      <c r="E57" s="31" t="s">
        <v>251</v>
      </c>
    </row>
    <row r="58" spans="2:5">
      <c r="B58" s="4" t="s">
        <v>371</v>
      </c>
      <c r="C58" s="31" t="s">
        <v>372</v>
      </c>
      <c r="D58" s="11" t="s">
        <v>373</v>
      </c>
      <c r="E58" s="31" t="s">
        <v>251</v>
      </c>
    </row>
    <row r="59" spans="2:5">
      <c r="B59" s="4" t="s">
        <v>374</v>
      </c>
      <c r="C59" s="31" t="s">
        <v>375</v>
      </c>
      <c r="D59" s="11" t="s">
        <v>376</v>
      </c>
      <c r="E59" s="31" t="s">
        <v>251</v>
      </c>
    </row>
    <row r="60" spans="2:5">
      <c r="B60" s="4" t="s">
        <v>377</v>
      </c>
      <c r="C60" s="31" t="s">
        <v>378</v>
      </c>
      <c r="D60" s="11" t="s">
        <v>379</v>
      </c>
      <c r="E60" s="31" t="s">
        <v>251</v>
      </c>
    </row>
    <row r="61" spans="2:5">
      <c r="B61" s="4" t="s">
        <v>380</v>
      </c>
      <c r="C61" s="31" t="s">
        <v>381</v>
      </c>
      <c r="D61" s="11" t="s">
        <v>382</v>
      </c>
      <c r="E61" s="31" t="s">
        <v>251</v>
      </c>
    </row>
    <row r="62" spans="2:5">
      <c r="B62" s="4" t="s">
        <v>383</v>
      </c>
      <c r="C62" s="31" t="s">
        <v>384</v>
      </c>
      <c r="D62" s="11" t="s">
        <v>385</v>
      </c>
      <c r="E62" s="31" t="s">
        <v>251</v>
      </c>
    </row>
    <row r="63" spans="2:5">
      <c r="B63" s="4" t="s">
        <v>386</v>
      </c>
      <c r="C63" s="31" t="s">
        <v>387</v>
      </c>
      <c r="D63" s="11" t="s">
        <v>388</v>
      </c>
      <c r="E63" s="31" t="s">
        <v>251</v>
      </c>
    </row>
    <row r="64" spans="2:5">
      <c r="B64" s="4" t="s">
        <v>389</v>
      </c>
      <c r="C64" s="31" t="s">
        <v>390</v>
      </c>
      <c r="D64" s="11" t="s">
        <v>391</v>
      </c>
      <c r="E64" s="31" t="s">
        <v>251</v>
      </c>
    </row>
    <row r="65" spans="2:5">
      <c r="B65" s="4" t="s">
        <v>392</v>
      </c>
      <c r="C65" s="31" t="s">
        <v>393</v>
      </c>
      <c r="D65" s="11" t="s">
        <v>394</v>
      </c>
      <c r="E65" s="31" t="s">
        <v>251</v>
      </c>
    </row>
    <row r="68" spans="2:5">
      <c r="B68" s="6" t="s">
        <v>395</v>
      </c>
      <c r="C68" s="6"/>
      <c r="D68" s="6"/>
      <c r="E68" s="6"/>
    </row>
  </sheetData>
  <mergeCells count="7">
    <mergeCell ref="B2:E2"/>
    <mergeCell ref="B3:E3"/>
    <mergeCell ref="B10:E10"/>
    <mergeCell ref="B27:E27"/>
    <mergeCell ref="B44:E44"/>
    <mergeCell ref="B55:E55"/>
    <mergeCell ref="B68:E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Portfolio</vt:lpstr>
      <vt:lpstr>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2026-02-16T06:47:26Z</dcterms:created>
  <dcterms:modified xsi:type="dcterms:W3CDTF">2026-02-16T06:47:26Z</dcterms:modified>
</cp:coreProperties>
</file>