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arktdaten" sheetId="2" r:id="rId2"/>
    <sheet name="Lilly Forecast" sheetId="3" r:id="rId3"/>
    <sheet name="Novo Forecast" sheetId="4" r:id="rId4"/>
    <sheet name="Dashboard" sheetId="5" r:id="rId5"/>
    <sheet name="Methodik" sheetId="6" r:id="rId6"/>
  </sheets>
  <calcPr calcId="124519" fullCalcOnLoad="1"/>
</workbook>
</file>

<file path=xl/sharedStrings.xml><?xml version="1.0" encoding="utf-8"?>
<sst xmlns="http://schemas.openxmlformats.org/spreadsheetml/2006/main" count="595" uniqueCount="410">
  <si>
    <t>GLP-1 Brand Competition - Patientenbasiertes Forecast Modell</t>
  </si>
  <si>
    <t>Mounjaro (Tirzepatid, Lilly) vs. Ozempic/Wegovy (Semaglutid, Novo Nordisk)</t>
  </si>
  <si>
    <t>1. INDIKATION: DIABETES (T2D)</t>
  </si>
  <si>
    <t>Patienten in Deutschland</t>
  </si>
  <si>
    <t>GKV-Versicherte mit Diabetes mellitus Typ 2</t>
  </si>
  <si>
    <t>GLP-1-Behandlungsrate aktuell</t>
  </si>
  <si>
    <t>13.9% der T2D-Patienten auf GLP-1 (BARMER 2025)</t>
  </si>
  <si>
    <t>GLP-1-Behandlungsrate Ziel</t>
  </si>
  <si>
    <t>Erwartete Penetration durch Leitlinien-Shift</t>
  </si>
  <si>
    <t>Mein Marktanteil Start (Lilly)</t>
  </si>
  <si>
    <t>Mounjaro aktuell ~8% und steigend</t>
  </si>
  <si>
    <t>Mein Marktanteil Peak (Lilly)</t>
  </si>
  <si>
    <t>Angestrebter Spitzenanteil T2D</t>
  </si>
  <si>
    <t>Wettbewerber Start (Novo)</t>
  </si>
  <si>
    <t>Ozempic + Wegovy kombiniert ~36%</t>
  </si>
  <si>
    <t>Wettbewerber Peak (Novo)</t>
  </si>
  <si>
    <t>Verteidigbare Position</t>
  </si>
  <si>
    <t>Preis / Monat Mounjaro (EUR)</t>
  </si>
  <si>
    <t>~EUR 206-490/Monat, Durchschn. ~EUR 350</t>
  </si>
  <si>
    <t>Preis / Monat Ozempic (EUR)</t>
  </si>
  <si>
    <t>~EUR 300/Monat (1mg Erhaltungsdosis)</t>
  </si>
  <si>
    <t>Therapietreue nach 12 Monaten</t>
  </si>
  <si>
    <t>70% der Patienten noch auf Therapie</t>
  </si>
  <si>
    <t>GKV-Erstattung</t>
  </si>
  <si>
    <t>JA</t>
  </si>
  <si>
    <t>Vollstaendig GKV-erstattet</t>
  </si>
  <si>
    <t>2. INDIKATION: ADIPOSITAS</t>
  </si>
  <si>
    <t>BMI &gt;= 30 in Deutschland</t>
  </si>
  <si>
    <t>Behandlungsrate aktuell</t>
  </si>
  <si>
    <t>~50K von 8M (0.6%, meist Selbstzahler)</t>
  </si>
  <si>
    <t>Behandlungsrate Ziel (ohne GKV)</t>
  </si>
  <si>
    <t>1.5% = nur Selbstzahler</t>
  </si>
  <si>
    <t>Behandlungsrate Ziel (mit GKV)</t>
  </si>
  <si>
    <t>5% bei GKV-Erstattung = 400K Patienten</t>
  </si>
  <si>
    <t>Mounjaro Spitzenanteil Adipositas</t>
  </si>
  <si>
    <t>Wegovy (eingeschraenkt, kein GKV)</t>
  </si>
  <si>
    <t>Adipositas-Dosis</t>
  </si>
  <si>
    <t>Preis / Monat Wegovy (EUR)</t>
  </si>
  <si>
    <t>Wegovy Preis nach April 2025 Reduktion</t>
  </si>
  <si>
    <t>Niedrigere Adhaerenz als T2D</t>
  </si>
  <si>
    <t>GKV-Erstattung Adipositas</t>
  </si>
  <si>
    <t>NEIN</t>
  </si>
  <si>
    <t>G-BA Juni 2024: Lifestyle-Arzneimittel</t>
  </si>
  <si>
    <t>3. INDIKATION: CV-RISIKOREDUKTION (optional)</t>
  </si>
  <si>
    <t>Patienten mit erhoehtem CV-Risiko</t>
  </si>
  <si>
    <t>Behandlungsrate Ziel</t>
  </si>
  <si>
    <t>5% der Zielpopulation</t>
  </si>
  <si>
    <t>Mein Marktanteil Peak</t>
  </si>
  <si>
    <t>Abhaengig von Studiendaten</t>
  </si>
  <si>
    <t>Preis / Monat (EUR)</t>
  </si>
  <si>
    <t>Gleiches Preisniveau wie T2D</t>
  </si>
  <si>
    <t>Chronische Indikation</t>
  </si>
  <si>
    <t>Indikation aktiv</t>
  </si>
  <si>
    <t>Noch nicht zugelassen (Studien laufen)</t>
  </si>
  <si>
    <t>Verzoegerung (Monate)</t>
  </si>
  <si>
    <t>Monate nach Forecast-Start bis Marktzugang</t>
  </si>
  <si>
    <t>4. INDIKATION: MASH / NASH (optional)</t>
  </si>
  <si>
    <t>MASH/NASH Patienten</t>
  </si>
  <si>
    <t>3% der Zielpopulation</t>
  </si>
  <si>
    <t>Lilly fuehrend in MASH-Entwicklung</t>
  </si>
  <si>
    <t>Premium-Indikation</t>
  </si>
  <si>
    <t>Lebererkrankung</t>
  </si>
  <si>
    <t>Studien laufen</t>
  </si>
  <si>
    <t>Spaetere Zulassung erwartet</t>
  </si>
  <si>
    <t>5. KOSTEN &amp; PROFITABILITAET</t>
  </si>
  <si>
    <t>COGS (% vom Umsatz)</t>
  </si>
  <si>
    <t>Biologika/Peptide: typisch 15-25%</t>
  </si>
  <si>
    <t>SG&amp;A / Monat (EUR)</t>
  </si>
  <si>
    <t>Vertrieb, KAM, Marketing</t>
  </si>
  <si>
    <t>Medical Affairs / Monat (EUR)</t>
  </si>
  <si>
    <t>MSL, Studien, Kongresse</t>
  </si>
  <si>
    <t>Preistrend p.a.</t>
  </si>
  <si>
    <t>Jaehrliche Preiserosion (-3%)</t>
  </si>
  <si>
    <t>Forecast-Horizont (Jahre)</t>
  </si>
  <si>
    <t>Prognosezeitraum</t>
  </si>
  <si>
    <t>6. SZENARIO-DEFINITIONEN</t>
  </si>
  <si>
    <t>Parameter</t>
  </si>
  <si>
    <t>Base Case</t>
  </si>
  <si>
    <t>Bull (Lilly)</t>
  </si>
  <si>
    <t>Bull (Novo)</t>
  </si>
  <si>
    <t>Mounjaro Peak Share T2D</t>
  </si>
  <si>
    <t>Mounjaro Peak Share Adipositas</t>
  </si>
  <si>
    <t>Monate bis Peak</t>
  </si>
  <si>
    <t>Novo Peak Share T2D</t>
  </si>
  <si>
    <t>Adipositas GKV-Erstattung</t>
  </si>
  <si>
    <t>Nein</t>
  </si>
  <si>
    <t>Ja</t>
  </si>
  <si>
    <t>Behandlungsrate T2D Ziel</t>
  </si>
  <si>
    <t>GLP-1 Wettbewerbslandschaft - Deutschland (Mid-2025)</t>
  </si>
  <si>
    <t>Produkt</t>
  </si>
  <si>
    <t>Hersteller</t>
  </si>
  <si>
    <t>Marktanteil
(TRx)</t>
  </si>
  <si>
    <t>Preis/Mon.
(EUR)</t>
  </si>
  <si>
    <t>Indikation</t>
  </si>
  <si>
    <t>GKV</t>
  </si>
  <si>
    <t>Lieferung</t>
  </si>
  <si>
    <t>Ozempic (Semaglutid s.c.)</t>
  </si>
  <si>
    <t>Novo Nordisk</t>
  </si>
  <si>
    <t>T2D</t>
  </si>
  <si>
    <t>Engpass</t>
  </si>
  <si>
    <t>Trulicity (Dulaglutid)</t>
  </si>
  <si>
    <t>Eli Lilly</t>
  </si>
  <si>
    <t>OK</t>
  </si>
  <si>
    <t>Mounjaro (Tirzepatid)</t>
  </si>
  <si>
    <t>T2D + Adipositas</t>
  </si>
  <si>
    <t>Ja (T2D)</t>
  </si>
  <si>
    <t>Rybelsus (Semaglutid oral)</t>
  </si>
  <si>
    <t>Victoza (Liraglutid)</t>
  </si>
  <si>
    <t>Wegovy (Semaglutid 2.4mg)</t>
  </si>
  <si>
    <t>Adipositas</t>
  </si>
  <si>
    <t>Sonstige (Exenatid etc.)</t>
  </si>
  <si>
    <t>Diverse</t>
  </si>
  <si>
    <t>Wettbewerbsdifferenzierung: Mounjaro vs. Ozempic</t>
  </si>
  <si>
    <t>Dimension</t>
  </si>
  <si>
    <t>Ozempic (Semaglutid)</t>
  </si>
  <si>
    <t>Vorteil</t>
  </si>
  <si>
    <t>Mechanismus</t>
  </si>
  <si>
    <t>Dual GIP/GLP-1 RA</t>
  </si>
  <si>
    <t>Mono GLP-1 RA</t>
  </si>
  <si>
    <t>Mounjaro</t>
  </si>
  <si>
    <t>HbA1c-Reduktion</t>
  </si>
  <si>
    <t>-2.4 %-Punkte</t>
  </si>
  <si>
    <t>-1.8 %-Punkte</t>
  </si>
  <si>
    <t>Gewichtsverlust</t>
  </si>
  <si>
    <t>-22.5%</t>
  </si>
  <si>
    <t>-15.0%</t>
  </si>
  <si>
    <t>Evidenzbasis</t>
  </si>
  <si>
    <t>Wachsend (SURPASS/SURMOUNT)</t>
  </si>
  <si>
    <t>Am breitesten (SUSTAIN/STEP/SELECT)</t>
  </si>
  <si>
    <t>Ozempic</t>
  </si>
  <si>
    <t>GKV Adipositas</t>
  </si>
  <si>
    <t>Ja (via Mounjaro)</t>
  </si>
  <si>
    <t>Nein (Wegovy ausgeschlossen)</t>
  </si>
  <si>
    <t>Versorgungslage</t>
  </si>
  <si>
    <t>Gut</t>
  </si>
  <si>
    <t>Lieferengpass seit 2022</t>
  </si>
  <si>
    <t>Marktpraesenz</t>
  </si>
  <si>
    <t>Seit Nov 2023 (kurz)</t>
  </si>
  <si>
    <t>Seit Feb 2020 (etabliert)</t>
  </si>
  <si>
    <t>AMNOG-Preis</t>
  </si>
  <si>
    <t>Vertraulich (ab Aug 2025)</t>
  </si>
  <si>
    <t>Vereinbart (oeffentlich)</t>
  </si>
  <si>
    <t>Neutral</t>
  </si>
  <si>
    <t>Marktwachstumstreiber</t>
  </si>
  <si>
    <t>Treiber</t>
  </si>
  <si>
    <t>Auswirkung</t>
  </si>
  <si>
    <t>Zeithorizont</t>
  </si>
  <si>
    <t>Sicherheit</t>
  </si>
  <si>
    <t>Leitlinien-Shift T2D</t>
  </si>
  <si>
    <t>GLP-1 frueher in Therapie: 14% -&gt; 25-30%</t>
  </si>
  <si>
    <t>2025-2030</t>
  </si>
  <si>
    <t>Hoch</t>
  </si>
  <si>
    <t>8M potenzielle Patienten</t>
  </si>
  <si>
    <t>Fruehestens 2027</t>
  </si>
  <si>
    <t>Mittel</t>
  </si>
  <si>
    <t>CV-Risikoreduktion (SELECT)</t>
  </si>
  <si>
    <t>-20% CV-Events -&gt; breitere Zielgruppe</t>
  </si>
  <si>
    <t>2025-2026</t>
  </si>
  <si>
    <t>MASH/NASH-Indikation</t>
  </si>
  <si>
    <t>Neue Patientenpopulation</t>
  </si>
  <si>
    <t>2026-2028</t>
  </si>
  <si>
    <t>Orales Semaglutid 25/50mg</t>
  </si>
  <si>
    <t>Convenience-Shift weg von Injektion</t>
  </si>
  <si>
    <t>Behebung Lieferengpaesse</t>
  </si>
  <si>
    <t>Aufholen unterdrueckter Nachfrage</t>
  </si>
  <si>
    <t>2025</t>
  </si>
  <si>
    <t>Eli Lilly Perspektive - Mounjaro (Tirzepatid) (Base Case)</t>
  </si>
  <si>
    <t>Umsatz Jahr 1</t>
  </si>
  <si>
    <t>Umsatz 5J</t>
  </si>
  <si>
    <t>Peak Patienten</t>
  </si>
  <si>
    <t>Market Leader ab</t>
  </si>
  <si>
    <t>–</t>
  </si>
  <si>
    <t>Gewinn 5J</t>
  </si>
  <si>
    <t>Monat</t>
  </si>
  <si>
    <t>Mon.
von Start</t>
  </si>
  <si>
    <t>Patienten
Gesamt</t>
  </si>
  <si>
    <t>Patienten
T2D</t>
  </si>
  <si>
    <t>Patienten
Adipo</t>
  </si>
  <si>
    <t>Patienten
CV</t>
  </si>
  <si>
    <t>Patienten
MASH</t>
  </si>
  <si>
    <t>Umsatz
Gesamt (EUR)</t>
  </si>
  <si>
    <t>Umsatz
T2D (EUR)</t>
  </si>
  <si>
    <t>Umsatz
Adipo (EUR)</t>
  </si>
  <si>
    <t>Mein Anteil
(gewichtet)</t>
  </si>
  <si>
    <t>Comp.
Anteil</t>
  </si>
  <si>
    <t>Comp.
Patienten</t>
  </si>
  <si>
    <t>Comp.
Umsatz (EUR)</t>
  </si>
  <si>
    <t>Oper. Gewinn
(EUR)</t>
  </si>
  <si>
    <t>Kum. Umsatz
(EUR)</t>
  </si>
  <si>
    <t>Kum. Gewinn
(EUR)</t>
  </si>
  <si>
    <t>Supply
Gap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</si>
  <si>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</si>
  <si>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</si>
  <si>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</si>
  <si>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</si>
  <si>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</si>
  <si>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</si>
  <si>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</si>
  <si>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</si>
  <si>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</si>
  <si>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</si>
  <si>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</si>
  <si>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</si>
  <si>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</si>
  <si>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</si>
  <si>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</si>
  <si>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</si>
  <si>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</si>
  <si>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</si>
  <si>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</si>
  <si>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</si>
  <si>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</si>
  <si>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</si>
  <si>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</si>
  <si>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</si>
  <si>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</si>
  <si>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</si>
  <si>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</si>
  <si>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</si>
  <si>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</si>
  <si>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</si>
  <si>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</si>
  <si>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</si>
  <si>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</si>
  <si>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</si>
  <si>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</si>
  <si>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</si>
  <si>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</si>
  <si>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</si>
  <si>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</si>
  <si>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</si>
  <si>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</si>
  <si>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</si>
  <si>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</si>
  <si>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</si>
  <si>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</si>
  <si>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</si>
  <si>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</si>
  <si>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</si>
  <si>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</si>
  <si>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</si>
  <si>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</si>
  <si>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</si>
  <si>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</si>
  <si>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</si>
  <si>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</si>
  <si>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</si>
  <si>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</si>
  <si>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</si>
  <si>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</si>
  <si>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</si>
  <si>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Novo Nordisk Perspektive - Ozempic / Wegovy (Semaglutid) (Base Case)</t>
  </si>
  <si>
    <t>Executive Summary - GLP-1 Brand Competition 2026-2030</t>
  </si>
  <si>
    <t>Head-to-Head Vergleich (Base Case)</t>
  </si>
  <si>
    <t>Mounjaro (Lilly)</t>
  </si>
  <si>
    <t>Ozempic (Novo)</t>
  </si>
  <si>
    <t>Umsatz 5J kumuliert</t>
  </si>
  <si>
    <t>Gewinn 5J kumuliert</t>
  </si>
  <si>
    <t>Peak Marktanteil</t>
  </si>
  <si>
    <t>Share Monat 12</t>
  </si>
  <si>
    <t>Share Monat 36</t>
  </si>
  <si>
    <t>Durchschn. Preis/Mon.</t>
  </si>
  <si>
    <t>Umsatz nach Indikation (5J, Base Case)</t>
  </si>
  <si>
    <t>CV-Risiko</t>
  </si>
  <si>
    <t>MASH</t>
  </si>
  <si>
    <t>Lilly (Mounjaro) - Szenario-Vergleich</t>
  </si>
  <si>
    <t>Methodik &amp; Transparenz-Matrix</t>
  </si>
  <si>
    <t>Patientenbasiertes Forecast-Modell. Jeder Datenpunkt ist klassifiziert: FAKT / ANNAHME / MODELL / LUECKE</t>
  </si>
  <si>
    <t>Legende:</t>
  </si>
  <si>
    <t>FAKT</t>
  </si>
  <si>
    <t>Aus oeffentlichen Quellen ableitbar</t>
  </si>
  <si>
    <t>ANNAHME</t>
  </si>
  <si>
    <t>Vom User steuerbar (gelbe Zellen)</t>
  </si>
  <si>
    <t>MODELL</t>
  </si>
  <si>
    <t>Mathematisches Modell (branchenvalidiert)</t>
  </si>
  <si>
    <t>LUECKE</t>
  </si>
  <si>
    <t>Fuer Produktiveinsatz benoetigt</t>
  </si>
  <si>
    <t>MODELL-ARCHITEKTUR: Patientenbasiert</t>
  </si>
  <si>
    <t>Pro Indikation, pro Monat:
  Patienten = Zielpopulation x Behandlungsrate x Marktanteil x Therapietreue
  Umsatz = Patienten x Preis/Monat (mit Erosion)
Summe ueber Indikationen -&gt; Gesamtumsatz -&gt; Supply Constraint -&gt; Profitabilitaet</t>
  </si>
  <si>
    <t>MATHEMATISCHE MODELLE</t>
  </si>
  <si>
    <t>Modell</t>
  </si>
  <si>
    <t>Formel / Logik</t>
  </si>
  <si>
    <t>Validierung / Referenz</t>
  </si>
  <si>
    <t>Kategorie</t>
  </si>
  <si>
    <t>Behandlungsrate (S-Kurve)</t>
  </si>
  <si>
    <t>Rate(t) = Start + (Peak - Start) * sigmoid(t, midpoint, steepness)</t>
  </si>
  <si>
    <t>Rogers Adoption Curve; Standard bei Therapie-Penetration</t>
  </si>
  <si>
    <t>Marktanteils-Ramp (S-Kurve)</t>
  </si>
  <si>
    <t>Share(t) = Start + (Peak - Start) * sigmoid(t, midpoint, steepness)</t>
  </si>
  <si>
    <t>Logistic Share Shift; Standard bei Brand-Launch-Forecasts</t>
  </si>
  <si>
    <t>Therapietreue (Persistence)</t>
  </si>
  <si>
    <t>avg_persistence = (1 + persistence_12m) / 2; Steady-State-Durchschnitt</t>
  </si>
  <si>
    <t>Vereinfachtes Modell; Kalibriert auf 12-Monats-Persistenzrate</t>
  </si>
  <si>
    <t>Supply Constraint</t>
  </si>
  <si>
    <t>min(Demand, Capacity) bis Normalisierungsmonat</t>
  </si>
  <si>
    <t>Historisch validierbar durch Ozempic-Engpass 2022-2025</t>
  </si>
  <si>
    <t>Preiserosion</t>
  </si>
  <si>
    <t>Price(t) = Base * (1 + annual_trend)^(t/12) * (1 - AMNOG_cut); Floor EUR 100</t>
  </si>
  <si>
    <t>AMNOG Erstattungsbetrag-Mechanik; jaehrliche Preisentwicklung</t>
  </si>
  <si>
    <t>Share-Normalisierung</t>
  </si>
  <si>
    <t>Wenn my_share + comp_share &gt; 90%: proportionale Skalierung</t>
  </si>
  <si>
    <t>Garantiert Rest-of-Market &gt;= 10% (Trulicity, Rybelsus etc.)</t>
  </si>
  <si>
    <t>FAKTEN (aus oeffentlichen Quellen)</t>
  </si>
  <si>
    <t>Datenpunkt</t>
  </si>
  <si>
    <t>Wert im Modell</t>
  </si>
  <si>
    <t>Quelle</t>
  </si>
  <si>
    <t>T2D-Patienten Deutschland</t>
  </si>
  <si>
    <t>6.33M GKV-Versicherte</t>
  </si>
  <si>
    <t>BARMER Gesundheitswesen aktuell 2025</t>
  </si>
  <si>
    <t>GLP-1-Penetration T2D (2024)</t>
  </si>
  <si>
    <t>13.9%</t>
  </si>
  <si>
    <t>BARMER GLP-1-Versorgungsanalyse 2025</t>
  </si>
  <si>
    <t>Adipositas-Patienten Deutschland</t>
  </si>
  <si>
    <t>8M (BMI &gt;= 30)</t>
  </si>
  <si>
    <t>RKI Gesundheitsmonitoring</t>
  </si>
  <si>
    <t>Mounjaro EU-Zulassung T2D</t>
  </si>
  <si>
    <t>Sep 2022</t>
  </si>
  <si>
    <t>EMA EPAR Mounjaro</t>
  </si>
  <si>
    <t>Mounjaro EU-Zulassung Adipositas</t>
  </si>
  <si>
    <t>Dez 2023</t>
  </si>
  <si>
    <t>Wegovy GKV-Ausschluss</t>
  </si>
  <si>
    <t>G-BA Juni 2024</t>
  </si>
  <si>
    <t>G-BA Beschluss: Lifestyle-Arzneimittel</t>
  </si>
  <si>
    <t>Tirzepatid Wirksamkeit</t>
  </si>
  <si>
    <t>-2.4% HbA1c, -22.5% Gewicht</t>
  </si>
  <si>
    <t>SURPASS / SURMOUNT</t>
  </si>
  <si>
    <t>Semaglutid Wirksamkeit</t>
  </si>
  <si>
    <t>-1.8% HbA1c, -15% Gewicht</t>
  </si>
  <si>
    <t>SUSTAIN / STEP</t>
  </si>
  <si>
    <t>Ozempic Lieferengpass</t>
  </si>
  <si>
    <t>Seit 2022, weltweit</t>
  </si>
  <si>
    <t>BfArM Lieferengpass-DB</t>
  </si>
  <si>
    <t>ANNAHMEN (User-steuerbar pro Indikation)</t>
  </si>
  <si>
    <t>Default-Wert</t>
  </si>
  <si>
    <t>Begruendung</t>
  </si>
  <si>
    <t>T2D Behandlungsrate Ziel</t>
  </si>
  <si>
    <t>22%</t>
  </si>
  <si>
    <t>Leitlinien-Shift treibt Penetration nach oben</t>
  </si>
  <si>
    <t>T2D Marktanteil Peak (Lilly)</t>
  </si>
  <si>
    <t>25%</t>
  </si>
  <si>
    <t>Abhaengig von KOL-Ueberzeugung, Leitlinien</t>
  </si>
  <si>
    <t>T2D Therapietreue 12M</t>
  </si>
  <si>
    <t>70%</t>
  </si>
  <si>
    <t>Chronische Therapie, gute Adhaerenz</t>
  </si>
  <si>
    <t>Adipositas Behandlungsrate</t>
  </si>
  <si>
    <t>1.5% (ohne GKV)</t>
  </si>
  <si>
    <t>Nur Selbstzahler; mit GKV: 5%</t>
  </si>
  <si>
    <t>Adipositas Therapietreue 12M</t>
  </si>
  <si>
    <t>45%</t>
  </si>
  <si>
    <t>Preis Mounjaro T2D</t>
  </si>
  <si>
    <t>EUR 350/Mon.</t>
  </si>
  <si>
    <t>~EUR 206-490/Mon., Durchschn. ~EUR 350</t>
  </si>
  <si>
    <t>Preis Ozempic T2D</t>
  </si>
  <si>
    <t>EUR 300/Mon.</t>
  </si>
  <si>
    <t>~EUR 300/Mon. (1mg Erhaltungsdosis)</t>
  </si>
  <si>
    <t>-3%</t>
  </si>
  <si>
    <t>Erfahrungswert bei etablierten Biologika</t>
  </si>
  <si>
    <t>COGS</t>
  </si>
  <si>
    <t>20%</t>
  </si>
  <si>
    <t>Peptid-Biologika: 15-25% typisch</t>
  </si>
  <si>
    <t>LUECKEN (fuer Produktiveinsatz benoetigt)</t>
  </si>
  <si>
    <t>Gap</t>
  </si>
  <si>
    <t>Beschreibung</t>
  </si>
  <si>
    <t>Datenquelle</t>
  </si>
  <si>
    <t>Echte IQVIA-Daten</t>
  </si>
  <si>
    <t>TRx, NRx auf Monatsebene pro GLP-1-Produkt</t>
  </si>
  <si>
    <t>IQVIA Midas / DPM</t>
  </si>
  <si>
    <t>Reale Persistenzdaten</t>
  </si>
  <si>
    <t>Therapietreue pro Indikation und Produkt</t>
  </si>
  <si>
    <t>GKV-Routinedaten / IQVIA</t>
  </si>
  <si>
    <t>Mounjaro vertraulicher Preis</t>
  </si>
  <si>
    <t>Tatsaechlicher GKV-Erstattungsbetrag</t>
  </si>
  <si>
    <t>Lilly intern / GKV-SV</t>
  </si>
  <si>
    <t>Regionale Verschreibungsdaten</t>
  </si>
  <si>
    <t>KV-Regionen: GLP-1-Adoption</t>
  </si>
  <si>
    <t>IQVIA Regional / KBV</t>
  </si>
  <si>
    <t>Pipeline-Timing</t>
  </si>
  <si>
    <t>FDA/EMA fuer CV/MASH-Indikationen</t>
  </si>
  <si>
    <t>ClinicalTrials.gov</t>
  </si>
  <si>
    <t>Patienten-Switching</t>
  </si>
  <si>
    <t>Umstellungsraten zwischen Produkten</t>
  </si>
  <si>
    <t>Real World Evidence</t>
  </si>
  <si>
    <t>Strukturelle Unterschiede vs. Generic-Entry-Modell (Eliquis)</t>
  </si>
  <si>
    <t>Generic Entry (Eliquis)</t>
  </si>
  <si>
    <t>Brand Competition (GLP-1)</t>
  </si>
  <si>
    <t>Modelltyp</t>
  </si>
  <si>
    <t>TRx-basiert (Markt x Share)</t>
  </si>
  <si>
    <t>Patientenbasiert (pro Indikation)</t>
  </si>
  <si>
    <t>Marktdynamik</t>
  </si>
  <si>
    <t>Markt stagniert/schrumpft</t>
  </si>
  <si>
    <t>Markt expandiert (Indikationen)</t>
  </si>
  <si>
    <t>Wettbewerber</t>
  </si>
  <si>
    <t>Multiple Generika vs. 1 Originator</t>
  </si>
  <si>
    <t>2 Branded Originatoren</t>
  </si>
  <si>
    <t>Preis-Mechanik</t>
  </si>
  <si>
    <t>Festbetrag / Generika-Erosion</t>
  </si>
  <si>
    <t>AMNOG Erstattungsbetrag</t>
  </si>
  <si>
    <t>Substitution</t>
  </si>
  <si>
    <t>Aut-idem (Apotheke)</t>
  </si>
  <si>
    <t>Keine; Arzt entscheidet</t>
  </si>
  <si>
    <t>Indikationen</t>
  </si>
  <si>
    <t>Single Indication</t>
  </si>
  <si>
    <t>Multi-Indication (T2D, Adipo, CV, MASH)</t>
  </si>
  <si>
    <t>Therapietreue</t>
  </si>
  <si>
    <t>Nicht modelliert</t>
  </si>
  <si>
    <t>Persistenz pro Indikation (Steady-State)</t>
  </si>
  <si>
    <t>Supply</t>
  </si>
  <si>
    <t>Normalerweise kein Engpass</t>
  </si>
  <si>
    <t>Reale Supply Constraints</t>
  </si>
  <si>
    <t>Hinweis: Alle Daten sind synthetisch und dienen der Illustration. Angelehnt an oeffentlich verfuegbare Quellen: BARMER 2025, G-BA, IQVIA, EMA. Kein Bezug zu vertraulichen Daten.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</si>
</sst>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€#,##0.00"/>
    <numFmt numFmtId="167" formatCode="€#,##0"/>
  </numFmts>
  <fonts count="15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2"/>
      <color rgb="FF1E3A5F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11"/>
      <color rgb="FF1A237E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4"/>
      <color rgb="FF9A3412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4"/>
      <color rgb="FF166534"/>
      <name val="Calibri"/>
      <family val="2"/>
      <scheme val="minor"/>
    </font>
    <font>
      <b/>
      <sz val="14"/>
      <color rgb="FF1E40A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FEF2F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E0B800"/>
      </left>
      <right style="thin">
        <color rgb="FFE0B800"/>
      </right>
      <top style="thin">
        <color rgb="FFE0B800"/>
      </top>
      <bottom style="thin">
        <color rgb="FFE0B8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 applyAlignment="1">
      <alignment vertical="center"/>
    </xf>
    <xf numFmtId="164" fontId="5" fillId="3" borderId="3" xfId="0" applyNumberFormat="1" applyFont="1" applyFill="1" applyBorder="1"/>
    <xf numFmtId="0" fontId="6" fillId="0" borderId="0" xfId="0" applyFont="1" applyAlignment="1">
      <alignment vertical="center" wrapText="1"/>
    </xf>
    <xf numFmtId="165" fontId="5" fillId="3" borderId="3" xfId="0" applyNumberFormat="1" applyFont="1" applyFill="1" applyBorder="1"/>
    <xf numFmtId="166" fontId="5" fillId="3" borderId="3" xfId="0" applyNumberFormat="1" applyFont="1" applyFill="1" applyBorder="1"/>
    <xf numFmtId="0" fontId="5" fillId="3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5" fillId="3" borderId="3" xfId="0" applyFont="1" applyFill="1" applyBorder="1"/>
    <xf numFmtId="0" fontId="8" fillId="0" borderId="0" xfId="0" applyFont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0" fontId="9" fillId="5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10" fillId="7" borderId="4" xfId="0" applyFont="1" applyFill="1" applyBorder="1"/>
    <xf numFmtId="167" fontId="11" fillId="8" borderId="4" xfId="0" applyNumberFormat="1" applyFont="1" applyFill="1" applyBorder="1" applyAlignment="1">
      <alignment horizontal="center"/>
    </xf>
    <xf numFmtId="0" fontId="12" fillId="7" borderId="4" xfId="0" applyFont="1" applyFill="1" applyBorder="1" applyAlignment="1">
      <alignment horizontal="center"/>
    </xf>
    <xf numFmtId="167" fontId="13" fillId="9" borderId="4" xfId="0" applyNumberFormat="1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vertical="center" wrapText="1"/>
    </xf>
    <xf numFmtId="164" fontId="0" fillId="0" borderId="0" xfId="0" applyNumberFormat="1"/>
    <xf numFmtId="167" fontId="0" fillId="0" borderId="0" xfId="0" applyNumberFormat="1"/>
    <xf numFmtId="0" fontId="0" fillId="11" borderId="0" xfId="0" applyFill="1"/>
    <xf numFmtId="164" fontId="0" fillId="11" borderId="0" xfId="0" applyNumberFormat="1" applyFill="1"/>
    <xf numFmtId="167" fontId="0" fillId="11" borderId="0" xfId="0" applyNumberFormat="1" applyFill="1"/>
    <xf numFmtId="165" fontId="0" fillId="11" borderId="0" xfId="0" applyNumberFormat="1" applyFill="1"/>
    <xf numFmtId="167" fontId="14" fillId="6" borderId="4" xfId="0" applyNumberFormat="1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Marktanteils-Wettlauf (gewichtet)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Mounjaro</c:v>
          </c:tx>
          <c:spPr>
            <a:ln w="31750">
              <a:solidFill>
                <a:srgbClr val="F59E0B"/>
              </a:solidFill>
            </a:ln>
          </c:spPr>
          <c:marker>
            <c:symbol val="none"/>
          </c:marker>
          <c:cat>
            <c:strRef>
              <c:f>'Lilly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Forecast'!$L$9:$L$68</c:f>
              <c:numCache>
                <c:formatCode>General</c:formatCode>
                <c:ptCount val="60"/>
                <c:pt idx="0">
                  <c:v>0.097</c:v>
                </c:pt>
                <c:pt idx="1">
                  <c:v>0.09909999999999999</c:v>
                </c:pt>
                <c:pt idx="2">
                  <c:v>0.1015</c:v>
                </c:pt>
                <c:pt idx="3">
                  <c:v>0.104</c:v>
                </c:pt>
                <c:pt idx="4">
                  <c:v>0.1067</c:v>
                </c:pt>
                <c:pt idx="5">
                  <c:v>0.1097</c:v>
                </c:pt>
                <c:pt idx="6">
                  <c:v>0.1129</c:v>
                </c:pt>
                <c:pt idx="7">
                  <c:v>0.1163</c:v>
                </c:pt>
                <c:pt idx="8">
                  <c:v>0.1199</c:v>
                </c:pt>
                <c:pt idx="9">
                  <c:v>0.1237</c:v>
                </c:pt>
                <c:pt idx="10">
                  <c:v>0.1278</c:v>
                </c:pt>
                <c:pt idx="11">
                  <c:v>0.132</c:v>
                </c:pt>
                <c:pt idx="12">
                  <c:v>0.1365</c:v>
                </c:pt>
                <c:pt idx="13">
                  <c:v>0.1411</c:v>
                </c:pt>
                <c:pt idx="14">
                  <c:v>0.1458</c:v>
                </c:pt>
                <c:pt idx="15">
                  <c:v>0.1507</c:v>
                </c:pt>
                <c:pt idx="16">
                  <c:v>0.1556</c:v>
                </c:pt>
                <c:pt idx="17">
                  <c:v>0.1606</c:v>
                </c:pt>
                <c:pt idx="18">
                  <c:v>0.1657</c:v>
                </c:pt>
                <c:pt idx="19">
                  <c:v>0.1707</c:v>
                </c:pt>
                <c:pt idx="20">
                  <c:v>0.1758</c:v>
                </c:pt>
                <c:pt idx="21">
                  <c:v>0.1808</c:v>
                </c:pt>
                <c:pt idx="22">
                  <c:v>0.1857</c:v>
                </c:pt>
                <c:pt idx="23">
                  <c:v>0.1905</c:v>
                </c:pt>
                <c:pt idx="24">
                  <c:v>0.1951</c:v>
                </c:pt>
                <c:pt idx="25">
                  <c:v>0.1997</c:v>
                </c:pt>
                <c:pt idx="26">
                  <c:v>0.204</c:v>
                </c:pt>
                <c:pt idx="27">
                  <c:v>0.2081</c:v>
                </c:pt>
                <c:pt idx="28">
                  <c:v>0.212</c:v>
                </c:pt>
                <c:pt idx="29">
                  <c:v>0.2157</c:v>
                </c:pt>
                <c:pt idx="30">
                  <c:v>0.2192</c:v>
                </c:pt>
                <c:pt idx="31">
                  <c:v>0.2226</c:v>
                </c:pt>
                <c:pt idx="32">
                  <c:v>0.2256</c:v>
                </c:pt>
                <c:pt idx="33">
                  <c:v>0.2285</c:v>
                </c:pt>
                <c:pt idx="34">
                  <c:v>0.2311</c:v>
                </c:pt>
                <c:pt idx="35">
                  <c:v>0.2336</c:v>
                </c:pt>
                <c:pt idx="36">
                  <c:v>0.2358</c:v>
                </c:pt>
                <c:pt idx="37">
                  <c:v>0.2378</c:v>
                </c:pt>
                <c:pt idx="38">
                  <c:v>0.2398</c:v>
                </c:pt>
                <c:pt idx="39">
                  <c:v>0.2415</c:v>
                </c:pt>
                <c:pt idx="40">
                  <c:v>0.2431</c:v>
                </c:pt>
                <c:pt idx="41">
                  <c:v>0.2446</c:v>
                </c:pt>
                <c:pt idx="42">
                  <c:v>0.2459</c:v>
                </c:pt>
                <c:pt idx="43">
                  <c:v>0.247</c:v>
                </c:pt>
                <c:pt idx="44">
                  <c:v>0.2481</c:v>
                </c:pt>
                <c:pt idx="45">
                  <c:v>0.2491</c:v>
                </c:pt>
                <c:pt idx="46">
                  <c:v>0.25</c:v>
                </c:pt>
                <c:pt idx="47">
                  <c:v>0.2508</c:v>
                </c:pt>
                <c:pt idx="48">
                  <c:v>0.2515</c:v>
                </c:pt>
                <c:pt idx="49">
                  <c:v>0.2521</c:v>
                </c:pt>
                <c:pt idx="50">
                  <c:v>0.2528</c:v>
                </c:pt>
                <c:pt idx="51">
                  <c:v>0.2533</c:v>
                </c:pt>
                <c:pt idx="52">
                  <c:v>0.2538</c:v>
                </c:pt>
                <c:pt idx="53">
                  <c:v>0.2542</c:v>
                </c:pt>
                <c:pt idx="54">
                  <c:v>0.2545</c:v>
                </c:pt>
                <c:pt idx="55">
                  <c:v>0.255</c:v>
                </c:pt>
                <c:pt idx="56">
                  <c:v>0.2552</c:v>
                </c:pt>
                <c:pt idx="57">
                  <c:v>0.2555</c:v>
                </c:pt>
                <c:pt idx="58">
                  <c:v>0.2557</c:v>
                </c:pt>
                <c:pt idx="59">
                  <c:v>0.256</c:v>
                </c:pt>
              </c:numCache>
            </c:numRef>
          </c:val>
        </c:ser>
        <c:ser>
          <c:idx val="1"/>
          <c:order val="1"/>
          <c:tx>
            <c:v>Wettbewerber</c:v>
          </c:tx>
          <c:spPr>
            <a:ln w="31750">
              <a:solidFill>
                <a:srgbClr val="2563EB"/>
              </a:solidFill>
              <a:prstDash val="dash"/>
            </a:ln>
          </c:spPr>
          <c:marker>
            <c:symbol val="none"/>
          </c:marker>
          <c:cat>
            <c:strRef>
              <c:f>'Lilly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Forecast'!$M$9:$M$68</c:f>
              <c:numCache>
                <c:formatCode>General</c:formatCode>
                <c:ptCount val="60"/>
                <c:pt idx="0">
                  <c:v>0.3358</c:v>
                </c:pt>
                <c:pt idx="1">
                  <c:v>0.3351</c:v>
                </c:pt>
                <c:pt idx="2">
                  <c:v>0.3343</c:v>
                </c:pt>
                <c:pt idx="3">
                  <c:v>0.3334</c:v>
                </c:pt>
                <c:pt idx="4">
                  <c:v>0.3324</c:v>
                </c:pt>
                <c:pt idx="5">
                  <c:v>0.3314</c:v>
                </c:pt>
                <c:pt idx="6">
                  <c:v>0.3304</c:v>
                </c:pt>
                <c:pt idx="7">
                  <c:v>0.3292</c:v>
                </c:pt>
                <c:pt idx="8">
                  <c:v>0.328</c:v>
                </c:pt>
                <c:pt idx="9">
                  <c:v>0.3269</c:v>
                </c:pt>
                <c:pt idx="10">
                  <c:v>0.3255</c:v>
                </c:pt>
                <c:pt idx="11">
                  <c:v>0.3242</c:v>
                </c:pt>
                <c:pt idx="12">
                  <c:v>0.3227</c:v>
                </c:pt>
                <c:pt idx="13">
                  <c:v>0.3213</c:v>
                </c:pt>
                <c:pt idx="14">
                  <c:v>0.3199</c:v>
                </c:pt>
                <c:pt idx="15">
                  <c:v>0.3184</c:v>
                </c:pt>
                <c:pt idx="16">
                  <c:v>0.3168</c:v>
                </c:pt>
                <c:pt idx="17">
                  <c:v>0.3154</c:v>
                </c:pt>
                <c:pt idx="18">
                  <c:v>0.3138</c:v>
                </c:pt>
                <c:pt idx="19">
                  <c:v>0.3123</c:v>
                </c:pt>
                <c:pt idx="20">
                  <c:v>0.3109</c:v>
                </c:pt>
                <c:pt idx="21">
                  <c:v>0.3093</c:v>
                </c:pt>
                <c:pt idx="22">
                  <c:v>0.3079</c:v>
                </c:pt>
                <c:pt idx="23">
                  <c:v>0.3066</c:v>
                </c:pt>
                <c:pt idx="24">
                  <c:v>0.3053</c:v>
                </c:pt>
                <c:pt idx="25">
                  <c:v>0.304</c:v>
                </c:pt>
                <c:pt idx="26">
                  <c:v>0.3028</c:v>
                </c:pt>
                <c:pt idx="27">
                  <c:v>0.3016</c:v>
                </c:pt>
                <c:pt idx="28">
                  <c:v>0.3006</c:v>
                </c:pt>
                <c:pt idx="29">
                  <c:v>0.2995</c:v>
                </c:pt>
                <c:pt idx="30">
                  <c:v>0.2985</c:v>
                </c:pt>
                <c:pt idx="31">
                  <c:v>0.2977</c:v>
                </c:pt>
                <c:pt idx="32">
                  <c:v>0.2968</c:v>
                </c:pt>
                <c:pt idx="33">
                  <c:v>0.296</c:v>
                </c:pt>
                <c:pt idx="34">
                  <c:v>0.2953</c:v>
                </c:pt>
                <c:pt idx="35">
                  <c:v>0.2946</c:v>
                </c:pt>
                <c:pt idx="36">
                  <c:v>0.294</c:v>
                </c:pt>
                <c:pt idx="37">
                  <c:v>0.2935</c:v>
                </c:pt>
                <c:pt idx="38">
                  <c:v>0.293</c:v>
                </c:pt>
                <c:pt idx="39">
                  <c:v>0.2925</c:v>
                </c:pt>
                <c:pt idx="40">
                  <c:v>0.292</c:v>
                </c:pt>
                <c:pt idx="41">
                  <c:v>0.2916</c:v>
                </c:pt>
                <c:pt idx="42">
                  <c:v>0.2913</c:v>
                </c:pt>
                <c:pt idx="43">
                  <c:v>0.291</c:v>
                </c:pt>
                <c:pt idx="44">
                  <c:v>0.2907</c:v>
                </c:pt>
                <c:pt idx="45">
                  <c:v>0.2904</c:v>
                </c:pt>
                <c:pt idx="46">
                  <c:v>0.2902</c:v>
                </c:pt>
                <c:pt idx="47">
                  <c:v>0.29</c:v>
                </c:pt>
                <c:pt idx="48">
                  <c:v>0.2898</c:v>
                </c:pt>
                <c:pt idx="49">
                  <c:v>0.2897</c:v>
                </c:pt>
                <c:pt idx="50">
                  <c:v>0.2895</c:v>
                </c:pt>
                <c:pt idx="51">
                  <c:v>0.2893</c:v>
                </c:pt>
                <c:pt idx="52">
                  <c:v>0.2892</c:v>
                </c:pt>
                <c:pt idx="53">
                  <c:v>0.2891</c:v>
                </c:pt>
                <c:pt idx="54">
                  <c:v>0.289</c:v>
                </c:pt>
                <c:pt idx="55">
                  <c:v>0.2889</c:v>
                </c:pt>
                <c:pt idx="56">
                  <c:v>0.2888</c:v>
                </c:pt>
                <c:pt idx="57">
                  <c:v>0.2888</c:v>
                </c:pt>
                <c:pt idx="58">
                  <c:v>0.2887</c:v>
                </c:pt>
                <c:pt idx="59">
                  <c:v>0.2886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Marktanteil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Umsatz nach Indikation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T2D</c:v>
          </c:tx>
          <c:spPr>
            <a:solidFill>
              <a:srgbClr val="3B82F6"/>
            </a:solidFill>
          </c:spPr>
          <c:cat>
            <c:strRef>
              <c:f>'Lilly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Forecast'!$J$9:$J$68</c:f>
              <c:numCache>
                <c:formatCode>General</c:formatCode>
                <c:ptCount val="60"/>
                <c:pt idx="0">
                  <c:v>28068464.53</c:v>
                </c:pt>
                <c:pt idx="1">
                  <c:v>28764397.26</c:v>
                </c:pt>
                <c:pt idx="2">
                  <c:v>29530552.56</c:v>
                </c:pt>
                <c:pt idx="3">
                  <c:v>30371500.42</c:v>
                </c:pt>
                <c:pt idx="4">
                  <c:v>31291650.77</c:v>
                </c:pt>
                <c:pt idx="5">
                  <c:v>32295129.56</c:v>
                </c:pt>
                <c:pt idx="6">
                  <c:v>33385635.2</c:v>
                </c:pt>
                <c:pt idx="7">
                  <c:v>34566276.74</c:v>
                </c:pt>
                <c:pt idx="8">
                  <c:v>35839397.36</c:v>
                </c:pt>
                <c:pt idx="9">
                  <c:v>37206388.36</c:v>
                </c:pt>
                <c:pt idx="10">
                  <c:v>38667501.18</c:v>
                </c:pt>
                <c:pt idx="11">
                  <c:v>40221667.17</c:v>
                </c:pt>
                <c:pt idx="12">
                  <c:v>41866336.79</c:v>
                </c:pt>
                <c:pt idx="13">
                  <c:v>43597350.86</c:v>
                </c:pt>
                <c:pt idx="14">
                  <c:v>45408857.23</c:v>
                </c:pt>
                <c:pt idx="15">
                  <c:v>47293284.81</c:v>
                </c:pt>
                <c:pt idx="16">
                  <c:v>49241384.96</c:v>
                </c:pt>
                <c:pt idx="17">
                  <c:v>51242346.11</c:v>
                </c:pt>
                <c:pt idx="18">
                  <c:v>53283982.7</c:v>
                </c:pt>
                <c:pt idx="19">
                  <c:v>55352993.69</c:v>
                </c:pt>
                <c:pt idx="20">
                  <c:v>57435280.23</c:v>
                </c:pt>
                <c:pt idx="21">
                  <c:v>59516306.56</c:v>
                </c:pt>
                <c:pt idx="22">
                  <c:v>61581484.68</c:v>
                </c:pt>
                <c:pt idx="23">
                  <c:v>63616561.03</c:v>
                </c:pt>
                <c:pt idx="24">
                  <c:v>65607983.31</c:v>
                </c:pt>
                <c:pt idx="25">
                  <c:v>67543228.05</c:v>
                </c:pt>
                <c:pt idx="26">
                  <c:v>69411072.92</c:v>
                </c:pt>
                <c:pt idx="27">
                  <c:v>71201803.09</c:v>
                </c:pt>
                <c:pt idx="28">
                  <c:v>72907346.18000001</c:v>
                </c:pt>
                <c:pt idx="29">
                  <c:v>74521336.06</c:v>
                </c:pt>
                <c:pt idx="30">
                  <c:v>76039110.09</c:v>
                </c:pt>
                <c:pt idx="31">
                  <c:v>77457648.33</c:v>
                </c:pt>
                <c:pt idx="32">
                  <c:v>78775465.31999999</c:v>
                </c:pt>
                <c:pt idx="33">
                  <c:v>79992466.54000001</c:v>
                </c:pt>
                <c:pt idx="34">
                  <c:v>81109781.19</c:v>
                </c:pt>
                <c:pt idx="35">
                  <c:v>82129582.65000001</c:v>
                </c:pt>
                <c:pt idx="36">
                  <c:v>83054905.89</c:v>
                </c:pt>
                <c:pt idx="37">
                  <c:v>83889469.93000001</c:v>
                </c:pt>
                <c:pt idx="38">
                  <c:v>84637511.09999999</c:v>
                </c:pt>
                <c:pt idx="39">
                  <c:v>85303631.23</c:v>
                </c:pt>
                <c:pt idx="40">
                  <c:v>85892663.33</c:v>
                </c:pt>
                <c:pt idx="41">
                  <c:v>86409555.69</c:v>
                </c:pt>
                <c:pt idx="42">
                  <c:v>86859274.59</c:v>
                </c:pt>
                <c:pt idx="43">
                  <c:v>87246724.73999999</c:v>
                </c:pt>
                <c:pt idx="44">
                  <c:v>87576686.11</c:v>
                </c:pt>
                <c:pt idx="45">
                  <c:v>87853765.62</c:v>
                </c:pt>
                <c:pt idx="46">
                  <c:v>88082361.63</c:v>
                </c:pt>
                <c:pt idx="47">
                  <c:v>88266639.59999999</c:v>
                </c:pt>
                <c:pt idx="48">
                  <c:v>88410517</c:v>
                </c:pt>
                <c:pt idx="49">
                  <c:v>88517655.79000001</c:v>
                </c:pt>
                <c:pt idx="50">
                  <c:v>88591461.11</c:v>
                </c:pt>
                <c:pt idx="51">
                  <c:v>88635084.59</c:v>
                </c:pt>
                <c:pt idx="52">
                  <c:v>88651431.42</c:v>
                </c:pt>
                <c:pt idx="53">
                  <c:v>88643170.06999999</c:v>
                </c:pt>
                <c:pt idx="54">
                  <c:v>88612743.73999999</c:v>
                </c:pt>
                <c:pt idx="55">
                  <c:v>88562383.23</c:v>
                </c:pt>
                <c:pt idx="56">
                  <c:v>88494120.23999999</c:v>
                </c:pt>
                <c:pt idx="57">
                  <c:v>88409801.14</c:v>
                </c:pt>
                <c:pt idx="58">
                  <c:v>88311100.58</c:v>
                </c:pt>
                <c:pt idx="59">
                  <c:v>88199534.79000001</c:v>
                </c:pt>
              </c:numCache>
            </c:numRef>
          </c:val>
        </c:ser>
        <c:ser>
          <c:idx val="1"/>
          <c:order val="1"/>
          <c:tx>
            <c:v>Adipositas</c:v>
          </c:tx>
          <c:spPr>
            <a:solidFill>
              <a:srgbClr val="22C55E"/>
            </a:solidFill>
          </c:spPr>
          <c:cat>
            <c:strRef>
              <c:f>'Lilly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Forecast'!$K$9:$K$68</c:f>
              <c:numCache>
                <c:formatCode>General</c:formatCode>
                <c:ptCount val="60"/>
                <c:pt idx="0">
                  <c:v>513448.85</c:v>
                </c:pt>
                <c:pt idx="1">
                  <c:v>573166.96</c:v>
                </c:pt>
                <c:pt idx="2">
                  <c:v>639599.74</c:v>
                </c:pt>
                <c:pt idx="3">
                  <c:v>713391.75</c:v>
                </c:pt>
                <c:pt idx="4">
                  <c:v>795211.03</c:v>
                </c:pt>
                <c:pt idx="5">
                  <c:v>885737.72</c:v>
                </c:pt>
                <c:pt idx="6">
                  <c:v>985649.14</c:v>
                </c:pt>
                <c:pt idx="7">
                  <c:v>1095601</c:v>
                </c:pt>
                <c:pt idx="8">
                  <c:v>1216204.72</c:v>
                </c:pt>
                <c:pt idx="9">
                  <c:v>1348001.16</c:v>
                </c:pt>
                <c:pt idx="10">
                  <c:v>1491431.43</c:v>
                </c:pt>
                <c:pt idx="11">
                  <c:v>1646805.81</c:v>
                </c:pt>
                <c:pt idx="12">
                  <c:v>1814272.4</c:v>
                </c:pt>
                <c:pt idx="13">
                  <c:v>1993787.37</c:v>
                </c:pt>
                <c:pt idx="14">
                  <c:v>2185089.08</c:v>
                </c:pt>
                <c:pt idx="15">
                  <c:v>2387678.45</c:v>
                </c:pt>
                <c:pt idx="16">
                  <c:v>2600807.73</c:v>
                </c:pt>
                <c:pt idx="17">
                  <c:v>2823479.7</c:v>
                </c:pt>
                <c:pt idx="18">
                  <c:v>3054458.28</c:v>
                </c:pt>
                <c:pt idx="19">
                  <c:v>3292291.17</c:v>
                </c:pt>
                <c:pt idx="20">
                  <c:v>3535343.67</c:v>
                </c:pt>
                <c:pt idx="21">
                  <c:v>3781842.19</c:v>
                </c:pt>
                <c:pt idx="22">
                  <c:v>4029924.99</c:v>
                </c:pt>
                <c:pt idx="23">
                  <c:v>4277696.99</c:v>
                </c:pt>
                <c:pt idx="24">
                  <c:v>4523285.27</c:v>
                </c:pt>
                <c:pt idx="25">
                  <c:v>4764892</c:v>
                </c:pt>
                <c:pt idx="26">
                  <c:v>5000841.72</c:v>
                </c:pt>
                <c:pt idx="27">
                  <c:v>5229620.7</c:v>
                </c:pt>
                <c:pt idx="28">
                  <c:v>5449906.85</c:v>
                </c:pt>
                <c:pt idx="29">
                  <c:v>5660589.49</c:v>
                </c:pt>
                <c:pt idx="30">
                  <c:v>5860779.01</c:v>
                </c:pt>
                <c:pt idx="31">
                  <c:v>6049807.37</c:v>
                </c:pt>
                <c:pt idx="32">
                  <c:v>6227220.5</c:v>
                </c:pt>
                <c:pt idx="33">
                  <c:v>6392764.31</c:v>
                </c:pt>
                <c:pt idx="34">
                  <c:v>6546365.98</c:v>
                </c:pt>
                <c:pt idx="35">
                  <c:v>6688112.12</c:v>
                </c:pt>
                <c:pt idx="36">
                  <c:v>6818225.38</c:v>
                </c:pt>
                <c:pt idx="37">
                  <c:v>6937040.75</c:v>
                </c:pt>
                <c:pt idx="38">
                  <c:v>7044982.63</c:v>
                </c:pt>
                <c:pt idx="39">
                  <c:v>7142543.3</c:v>
                </c:pt>
                <c:pt idx="40">
                  <c:v>7230263.47</c:v>
                </c:pt>
                <c:pt idx="41">
                  <c:v>7308715.13</c:v>
                </c:pt>
                <c:pt idx="42">
                  <c:v>7378486.72</c:v>
                </c:pt>
                <c:pt idx="43">
                  <c:v>7440170.84</c:v>
                </c:pt>
                <c:pt idx="44">
                  <c:v>7494354.11</c:v>
                </c:pt>
                <c:pt idx="45">
                  <c:v>7541609.19</c:v>
                </c:pt>
                <c:pt idx="46">
                  <c:v>7582488.68</c:v>
                </c:pt>
                <c:pt idx="47">
                  <c:v>7617520.62</c:v>
                </c:pt>
                <c:pt idx="48">
                  <c:v>7647205.39</c:v>
                </c:pt>
                <c:pt idx="49">
                  <c:v>7672013.78</c:v>
                </c:pt>
                <c:pt idx="50">
                  <c:v>7692386.03</c:v>
                </c:pt>
                <c:pt idx="51">
                  <c:v>7708731.55</c:v>
                </c:pt>
                <c:pt idx="52">
                  <c:v>7721429.35</c:v>
                </c:pt>
                <c:pt idx="53">
                  <c:v>7730828.84</c:v>
                </c:pt>
                <c:pt idx="54">
                  <c:v>7737250.94</c:v>
                </c:pt>
                <c:pt idx="55">
                  <c:v>7740989.52</c:v>
                </c:pt>
                <c:pt idx="56">
                  <c:v>7742312.89</c:v>
                </c:pt>
                <c:pt idx="57">
                  <c:v>7741465.4</c:v>
                </c:pt>
                <c:pt idx="58">
                  <c:v>7738669.13</c:v>
                </c:pt>
                <c:pt idx="59">
                  <c:v>7734125.48</c:v>
                </c:pt>
              </c:numCache>
            </c:numRef>
          </c:val>
        </c:ser>
        <c:overlap val="100"/>
        <c:axId val="50020001"/>
        <c:axId val="50020002"/>
      </c:barChart>
      <c:lineChart>
        <c:grouping val="standard"/>
        <c:ser>
          <c:idx val="2"/>
          <c:order val="2"/>
          <c:tx>
            <c:v>Kum. Umsatz</c:v>
          </c:tx>
          <c:spPr>
            <a:ln w="31750">
              <a:solidFill>
                <a:srgbClr val="166534"/>
              </a:solidFill>
            </a:ln>
          </c:spPr>
          <c:marker>
            <c:symbol val="none"/>
          </c:marker>
          <c:cat>
            <c:strRef>
              <c:f>'Lilly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Forecast'!$Q$9:$Q$68</c:f>
              <c:numCache>
                <c:formatCode>General</c:formatCode>
                <c:ptCount val="60"/>
                <c:pt idx="0">
                  <c:v>28581913.38</c:v>
                </c:pt>
                <c:pt idx="1">
                  <c:v>57919477.6</c:v>
                </c:pt>
                <c:pt idx="2">
                  <c:v>88089629.90000001</c:v>
                </c:pt>
                <c:pt idx="3">
                  <c:v>119174522.07</c:v>
                </c:pt>
                <c:pt idx="4">
                  <c:v>151261383.86</c:v>
                </c:pt>
                <c:pt idx="5">
                  <c:v>184442251.14</c:v>
                </c:pt>
                <c:pt idx="6">
                  <c:v>218813535.48</c:v>
                </c:pt>
                <c:pt idx="7">
                  <c:v>254475413.22</c:v>
                </c:pt>
                <c:pt idx="8">
                  <c:v>291531015.3</c:v>
                </c:pt>
                <c:pt idx="9">
                  <c:v>330085404.82</c:v>
                </c:pt>
                <c:pt idx="10">
                  <c:v>370244337.43</c:v>
                </c:pt>
                <c:pt idx="11">
                  <c:v>412112810.41</c:v>
                </c:pt>
                <c:pt idx="12">
                  <c:v>455793419.6</c:v>
                </c:pt>
                <c:pt idx="13">
                  <c:v>501384557.83</c:v>
                </c:pt>
                <c:pt idx="14">
                  <c:v>548978504.15</c:v>
                </c:pt>
                <c:pt idx="15">
                  <c:v>598659467.41</c:v>
                </c:pt>
                <c:pt idx="16">
                  <c:v>650501660.11</c:v>
                </c:pt>
                <c:pt idx="17">
                  <c:v>704567485.92</c:v>
                </c:pt>
                <c:pt idx="18">
                  <c:v>760905926.9</c:v>
                </c:pt>
                <c:pt idx="19">
                  <c:v>819551211.76</c:v>
                </c:pt>
                <c:pt idx="20">
                  <c:v>880521835.66</c:v>
                </c:pt>
                <c:pt idx="21">
                  <c:v>943819984.4</c:v>
                </c:pt>
                <c:pt idx="22">
                  <c:v>1009431394.07</c:v>
                </c:pt>
                <c:pt idx="23">
                  <c:v>1077325652.09</c:v>
                </c:pt>
                <c:pt idx="24">
                  <c:v>1147456920.67</c:v>
                </c:pt>
                <c:pt idx="25">
                  <c:v>1219765040.72</c:v>
                </c:pt>
                <c:pt idx="26">
                  <c:v>1294176955.37</c:v>
                </c:pt>
                <c:pt idx="27">
                  <c:v>1370608379.16</c:v>
                </c:pt>
                <c:pt idx="28">
                  <c:v>1448965632.19</c:v>
                </c:pt>
                <c:pt idx="29">
                  <c:v>1529147557.73</c:v>
                </c:pt>
                <c:pt idx="30">
                  <c:v>1611047446.83</c:v>
                </c:pt>
                <c:pt idx="31">
                  <c:v>1694554902.53</c:v>
                </c:pt>
                <c:pt idx="32">
                  <c:v>1779557588.35</c:v>
                </c:pt>
                <c:pt idx="33">
                  <c:v>1865942819.2</c:v>
                </c:pt>
                <c:pt idx="34">
                  <c:v>1953598966.38</c:v>
                </c:pt>
                <c:pt idx="35">
                  <c:v>2042416661.15</c:v>
                </c:pt>
                <c:pt idx="36">
                  <c:v>2132289792.42</c:v>
                </c:pt>
                <c:pt idx="37">
                  <c:v>2223116303.11</c:v>
                </c:pt>
                <c:pt idx="38">
                  <c:v>2314798796.84</c:v>
                </c:pt>
                <c:pt idx="39">
                  <c:v>2407244971.37</c:v>
                </c:pt>
                <c:pt idx="40">
                  <c:v>2500367898.18</c:v>
                </c:pt>
                <c:pt idx="41">
                  <c:v>2594086169</c:v>
                </c:pt>
                <c:pt idx="42">
                  <c:v>2688323930.32</c:v>
                </c:pt>
                <c:pt idx="43">
                  <c:v>2783010825.9</c:v>
                </c:pt>
                <c:pt idx="44">
                  <c:v>2878081866.12</c:v>
                </c:pt>
                <c:pt idx="45">
                  <c:v>2973477240.93</c:v>
                </c:pt>
                <c:pt idx="46">
                  <c:v>3069142091.24</c:v>
                </c:pt>
                <c:pt idx="47">
                  <c:v>3165026251.46</c:v>
                </c:pt>
                <c:pt idx="48">
                  <c:v>3261083973.85</c:v>
                </c:pt>
                <c:pt idx="49">
                  <c:v>3357273643.43</c:v>
                </c:pt>
                <c:pt idx="50">
                  <c:v>3453557490.57</c:v>
                </c:pt>
                <c:pt idx="51">
                  <c:v>3549901306.71</c:v>
                </c:pt>
                <c:pt idx="52">
                  <c:v>3646274167.49</c:v>
                </c:pt>
                <c:pt idx="53">
                  <c:v>3742648166.4</c:v>
                </c:pt>
                <c:pt idx="54">
                  <c:v>3838998161.09</c:v>
                </c:pt>
                <c:pt idx="55">
                  <c:v>3935301533.84</c:v>
                </c:pt>
                <c:pt idx="56">
                  <c:v>4031537966.96</c:v>
                </c:pt>
                <c:pt idx="57">
                  <c:v>4127689233.5</c:v>
                </c:pt>
                <c:pt idx="58">
                  <c:v>4223739003.21</c:v>
                </c:pt>
                <c:pt idx="59">
                  <c:v>4319672663.48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Monatl. Umsatz (EUR)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Patienten nach Indikation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T2D</c:v>
          </c:tx>
          <c:spPr>
            <a:solidFill>
              <a:srgbClr val="93C5FD"/>
            </a:solidFill>
            <a:ln w="12700">
              <a:solidFill>
                <a:srgbClr val="3B82F6"/>
              </a:solidFill>
            </a:ln>
          </c:spPr>
          <c:cat>
            <c:strRef>
              <c:f>'Lilly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Forecast'!$E$9:$E$68</c:f>
              <c:numCache>
                <c:formatCode>General</c:formatCode>
                <c:ptCount val="60"/>
                <c:pt idx="0">
                  <c:v>80196</c:v>
                </c:pt>
                <c:pt idx="1">
                  <c:v>82393</c:v>
                </c:pt>
                <c:pt idx="2">
                  <c:v>84802</c:v>
                </c:pt>
                <c:pt idx="3">
                  <c:v>87439</c:v>
                </c:pt>
                <c:pt idx="4">
                  <c:v>90317</c:v>
                </c:pt>
                <c:pt idx="5">
                  <c:v>93450</c:v>
                </c:pt>
                <c:pt idx="6">
                  <c:v>96851</c:v>
                </c:pt>
                <c:pt idx="7">
                  <c:v>100531</c:v>
                </c:pt>
                <c:pt idx="8">
                  <c:v>104499</c:v>
                </c:pt>
                <c:pt idx="9">
                  <c:v>108760</c:v>
                </c:pt>
                <c:pt idx="10">
                  <c:v>113319</c:v>
                </c:pt>
                <c:pt idx="11">
                  <c:v>118173</c:v>
                </c:pt>
                <c:pt idx="12">
                  <c:v>123318</c:v>
                </c:pt>
                <c:pt idx="13">
                  <c:v>128743</c:v>
                </c:pt>
                <c:pt idx="14">
                  <c:v>134433</c:v>
                </c:pt>
                <c:pt idx="15">
                  <c:v>140368</c:v>
                </c:pt>
                <c:pt idx="16">
                  <c:v>146521</c:v>
                </c:pt>
                <c:pt idx="17">
                  <c:v>152863</c:v>
                </c:pt>
                <c:pt idx="18">
                  <c:v>159357</c:v>
                </c:pt>
                <c:pt idx="19">
                  <c:v>165966</c:v>
                </c:pt>
                <c:pt idx="20">
                  <c:v>172647</c:v>
                </c:pt>
                <c:pt idx="21">
                  <c:v>179357</c:v>
                </c:pt>
                <c:pt idx="22">
                  <c:v>186052</c:v>
                </c:pt>
                <c:pt idx="23">
                  <c:v>192689</c:v>
                </c:pt>
                <c:pt idx="24">
                  <c:v>199226</c:v>
                </c:pt>
                <c:pt idx="25">
                  <c:v>205623</c:v>
                </c:pt>
                <c:pt idx="26">
                  <c:v>211847</c:v>
                </c:pt>
                <c:pt idx="27">
                  <c:v>217865</c:v>
                </c:pt>
                <c:pt idx="28">
                  <c:v>223650</c:v>
                </c:pt>
                <c:pt idx="29">
                  <c:v>229182</c:v>
                </c:pt>
                <c:pt idx="30">
                  <c:v>234444</c:v>
                </c:pt>
                <c:pt idx="31">
                  <c:v>239425</c:v>
                </c:pt>
                <c:pt idx="32">
                  <c:v>244117</c:v>
                </c:pt>
                <c:pt idx="33">
                  <c:v>248519</c:v>
                </c:pt>
                <c:pt idx="34">
                  <c:v>252630</c:v>
                </c:pt>
                <c:pt idx="35">
                  <c:v>256457</c:v>
                </c:pt>
                <c:pt idx="36">
                  <c:v>260005</c:v>
                </c:pt>
                <c:pt idx="37">
                  <c:v>263285</c:v>
                </c:pt>
                <c:pt idx="38">
                  <c:v>266308</c:v>
                </c:pt>
                <c:pt idx="39">
                  <c:v>269086</c:v>
                </c:pt>
                <c:pt idx="40">
                  <c:v>271633</c:v>
                </c:pt>
                <c:pt idx="41">
                  <c:v>273962</c:v>
                </c:pt>
                <c:pt idx="42">
                  <c:v>276088</c:v>
                </c:pt>
                <c:pt idx="43">
                  <c:v>278024</c:v>
                </c:pt>
                <c:pt idx="44">
                  <c:v>279785</c:v>
                </c:pt>
                <c:pt idx="45">
                  <c:v>281383</c:v>
                </c:pt>
                <c:pt idx="46">
                  <c:v>282832</c:v>
                </c:pt>
                <c:pt idx="47">
                  <c:v>284145</c:v>
                </c:pt>
                <c:pt idx="48">
                  <c:v>285331</c:v>
                </c:pt>
                <c:pt idx="49">
                  <c:v>286403</c:v>
                </c:pt>
                <c:pt idx="50">
                  <c:v>287370</c:v>
                </c:pt>
                <c:pt idx="51">
                  <c:v>288242</c:v>
                </c:pt>
                <c:pt idx="52">
                  <c:v>289028</c:v>
                </c:pt>
                <c:pt idx="53">
                  <c:v>289736</c:v>
                </c:pt>
                <c:pt idx="54">
                  <c:v>290372</c:v>
                </c:pt>
                <c:pt idx="55">
                  <c:v>290945</c:v>
                </c:pt>
                <c:pt idx="56">
                  <c:v>291460</c:v>
                </c:pt>
                <c:pt idx="57">
                  <c:v>291922</c:v>
                </c:pt>
                <c:pt idx="58">
                  <c:v>292337</c:v>
                </c:pt>
                <c:pt idx="59">
                  <c:v>292710</c:v>
                </c:pt>
              </c:numCache>
            </c:numRef>
          </c:val>
        </c:ser>
        <c:ser>
          <c:idx val="1"/>
          <c:order val="1"/>
          <c:tx>
            <c:v>Adipositas</c:v>
          </c:tx>
          <c:spPr>
            <a:solidFill>
              <a:srgbClr val="86EFAC"/>
            </a:solidFill>
            <a:ln w="12700">
              <a:solidFill>
                <a:srgbClr val="22C55E"/>
              </a:solidFill>
            </a:ln>
          </c:spPr>
          <c:cat>
            <c:strRef>
              <c:f>'Lilly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Forecast'!$F$9:$F$68</c:f>
              <c:numCache>
                <c:formatCode>General</c:formatCode>
                <c:ptCount val="60"/>
                <c:pt idx="0">
                  <c:v>1711</c:v>
                </c:pt>
                <c:pt idx="1">
                  <c:v>1915</c:v>
                </c:pt>
                <c:pt idx="2">
                  <c:v>2143</c:v>
                </c:pt>
                <c:pt idx="3">
                  <c:v>2396</c:v>
                </c:pt>
                <c:pt idx="4">
                  <c:v>2678</c:v>
                </c:pt>
                <c:pt idx="5">
                  <c:v>2990</c:v>
                </c:pt>
                <c:pt idx="6">
                  <c:v>3336</c:v>
                </c:pt>
                <c:pt idx="7">
                  <c:v>3717</c:v>
                </c:pt>
                <c:pt idx="8">
                  <c:v>4137</c:v>
                </c:pt>
                <c:pt idx="9">
                  <c:v>4597</c:v>
                </c:pt>
                <c:pt idx="10">
                  <c:v>5099</c:v>
                </c:pt>
                <c:pt idx="11">
                  <c:v>5645</c:v>
                </c:pt>
                <c:pt idx="12">
                  <c:v>6235</c:v>
                </c:pt>
                <c:pt idx="13">
                  <c:v>6869</c:v>
                </c:pt>
                <c:pt idx="14">
                  <c:v>7547</c:v>
                </c:pt>
                <c:pt idx="15">
                  <c:v>8268</c:v>
                </c:pt>
                <c:pt idx="16">
                  <c:v>9029</c:v>
                </c:pt>
                <c:pt idx="17">
                  <c:v>9827</c:v>
                </c:pt>
                <c:pt idx="18">
                  <c:v>10657</c:v>
                </c:pt>
                <c:pt idx="19">
                  <c:v>11517</c:v>
                </c:pt>
                <c:pt idx="20">
                  <c:v>12398</c:v>
                </c:pt>
                <c:pt idx="21">
                  <c:v>13296</c:v>
                </c:pt>
                <c:pt idx="22">
                  <c:v>14205</c:v>
                </c:pt>
                <c:pt idx="23">
                  <c:v>15116</c:v>
                </c:pt>
                <c:pt idx="24">
                  <c:v>16025</c:v>
                </c:pt>
                <c:pt idx="25">
                  <c:v>16924</c:v>
                </c:pt>
                <c:pt idx="26">
                  <c:v>17807</c:v>
                </c:pt>
                <c:pt idx="27">
                  <c:v>18669</c:v>
                </c:pt>
                <c:pt idx="28">
                  <c:v>19504</c:v>
                </c:pt>
                <c:pt idx="29">
                  <c:v>20310</c:v>
                </c:pt>
                <c:pt idx="30">
                  <c:v>21082</c:v>
                </c:pt>
                <c:pt idx="31">
                  <c:v>21817</c:v>
                </c:pt>
                <c:pt idx="32">
                  <c:v>22514</c:v>
                </c:pt>
                <c:pt idx="33">
                  <c:v>23171</c:v>
                </c:pt>
                <c:pt idx="34">
                  <c:v>23788</c:v>
                </c:pt>
                <c:pt idx="35">
                  <c:v>24365</c:v>
                </c:pt>
                <c:pt idx="36">
                  <c:v>24902</c:v>
                </c:pt>
                <c:pt idx="37">
                  <c:v>25400</c:v>
                </c:pt>
                <c:pt idx="38">
                  <c:v>25861</c:v>
                </c:pt>
                <c:pt idx="39">
                  <c:v>26286</c:v>
                </c:pt>
                <c:pt idx="40">
                  <c:v>26676</c:v>
                </c:pt>
                <c:pt idx="41">
                  <c:v>27034</c:v>
                </c:pt>
                <c:pt idx="42">
                  <c:v>27362</c:v>
                </c:pt>
                <c:pt idx="43">
                  <c:v>27661</c:v>
                </c:pt>
                <c:pt idx="44">
                  <c:v>27933</c:v>
                </c:pt>
                <c:pt idx="45">
                  <c:v>28181</c:v>
                </c:pt>
                <c:pt idx="46">
                  <c:v>28405</c:v>
                </c:pt>
                <c:pt idx="47">
                  <c:v>28609</c:v>
                </c:pt>
                <c:pt idx="48">
                  <c:v>28794</c:v>
                </c:pt>
                <c:pt idx="49">
                  <c:v>28960</c:v>
                </c:pt>
                <c:pt idx="50">
                  <c:v>29111</c:v>
                </c:pt>
                <c:pt idx="51">
                  <c:v>29247</c:v>
                </c:pt>
                <c:pt idx="52">
                  <c:v>29370</c:v>
                </c:pt>
                <c:pt idx="53">
                  <c:v>29480</c:v>
                </c:pt>
                <c:pt idx="54">
                  <c:v>29580</c:v>
                </c:pt>
                <c:pt idx="55">
                  <c:v>29669</c:v>
                </c:pt>
                <c:pt idx="56">
                  <c:v>29750</c:v>
                </c:pt>
                <c:pt idx="57">
                  <c:v>29822</c:v>
                </c:pt>
                <c:pt idx="58">
                  <c:v>29887</c:v>
                </c:pt>
                <c:pt idx="59">
                  <c:v>29945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Patienten / Monat</a:t>
                </a:r>
              </a:p>
            </c:rich>
          </c:tx>
          <c:layout/>
        </c:title>
        <c:numFmt formatCode="#,##0" sourceLinked="0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Marktanteils-Wettlauf (gewichtet)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Ozempic / Wegovy</c:v>
          </c:tx>
          <c:spPr>
            <a:ln w="31750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'Novo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Forecast'!$L$9:$L$68</c:f>
              <c:numCache>
                <c:formatCode>General</c:formatCode>
                <c:ptCount val="60"/>
                <c:pt idx="0">
                  <c:v>0.3358</c:v>
                </c:pt>
                <c:pt idx="1">
                  <c:v>0.3351</c:v>
                </c:pt>
                <c:pt idx="2">
                  <c:v>0.3343</c:v>
                </c:pt>
                <c:pt idx="3">
                  <c:v>0.3334</c:v>
                </c:pt>
                <c:pt idx="4">
                  <c:v>0.3324</c:v>
                </c:pt>
                <c:pt idx="5">
                  <c:v>0.3314</c:v>
                </c:pt>
                <c:pt idx="6">
                  <c:v>0.3304</c:v>
                </c:pt>
                <c:pt idx="7">
                  <c:v>0.3292</c:v>
                </c:pt>
                <c:pt idx="8">
                  <c:v>0.328</c:v>
                </c:pt>
                <c:pt idx="9">
                  <c:v>0.3269</c:v>
                </c:pt>
                <c:pt idx="10">
                  <c:v>0.3255</c:v>
                </c:pt>
                <c:pt idx="11">
                  <c:v>0.3242</c:v>
                </c:pt>
                <c:pt idx="12">
                  <c:v>0.3227</c:v>
                </c:pt>
                <c:pt idx="13">
                  <c:v>0.3213</c:v>
                </c:pt>
                <c:pt idx="14">
                  <c:v>0.3199</c:v>
                </c:pt>
                <c:pt idx="15">
                  <c:v>0.3184</c:v>
                </c:pt>
                <c:pt idx="16">
                  <c:v>0.3168</c:v>
                </c:pt>
                <c:pt idx="17">
                  <c:v>0.3154</c:v>
                </c:pt>
                <c:pt idx="18">
                  <c:v>0.3138</c:v>
                </c:pt>
                <c:pt idx="19">
                  <c:v>0.3123</c:v>
                </c:pt>
                <c:pt idx="20">
                  <c:v>0.3109</c:v>
                </c:pt>
                <c:pt idx="21">
                  <c:v>0.3093</c:v>
                </c:pt>
                <c:pt idx="22">
                  <c:v>0.3079</c:v>
                </c:pt>
                <c:pt idx="23">
                  <c:v>0.3066</c:v>
                </c:pt>
                <c:pt idx="24">
                  <c:v>0.3053</c:v>
                </c:pt>
                <c:pt idx="25">
                  <c:v>0.304</c:v>
                </c:pt>
                <c:pt idx="26">
                  <c:v>0.3028</c:v>
                </c:pt>
                <c:pt idx="27">
                  <c:v>0.3016</c:v>
                </c:pt>
                <c:pt idx="28">
                  <c:v>0.3006</c:v>
                </c:pt>
                <c:pt idx="29">
                  <c:v>0.2995</c:v>
                </c:pt>
                <c:pt idx="30">
                  <c:v>0.2985</c:v>
                </c:pt>
                <c:pt idx="31">
                  <c:v>0.2977</c:v>
                </c:pt>
                <c:pt idx="32">
                  <c:v>0.2968</c:v>
                </c:pt>
                <c:pt idx="33">
                  <c:v>0.296</c:v>
                </c:pt>
                <c:pt idx="34">
                  <c:v>0.2953</c:v>
                </c:pt>
                <c:pt idx="35">
                  <c:v>0.2946</c:v>
                </c:pt>
                <c:pt idx="36">
                  <c:v>0.294</c:v>
                </c:pt>
                <c:pt idx="37">
                  <c:v>0.2935</c:v>
                </c:pt>
                <c:pt idx="38">
                  <c:v>0.293</c:v>
                </c:pt>
                <c:pt idx="39">
                  <c:v>0.2925</c:v>
                </c:pt>
                <c:pt idx="40">
                  <c:v>0.292</c:v>
                </c:pt>
                <c:pt idx="41">
                  <c:v>0.2916</c:v>
                </c:pt>
                <c:pt idx="42">
                  <c:v>0.2913</c:v>
                </c:pt>
                <c:pt idx="43">
                  <c:v>0.291</c:v>
                </c:pt>
                <c:pt idx="44">
                  <c:v>0.2907</c:v>
                </c:pt>
                <c:pt idx="45">
                  <c:v>0.2904</c:v>
                </c:pt>
                <c:pt idx="46">
                  <c:v>0.2902</c:v>
                </c:pt>
                <c:pt idx="47">
                  <c:v>0.29</c:v>
                </c:pt>
                <c:pt idx="48">
                  <c:v>0.2898</c:v>
                </c:pt>
                <c:pt idx="49">
                  <c:v>0.2897</c:v>
                </c:pt>
                <c:pt idx="50">
                  <c:v>0.2895</c:v>
                </c:pt>
                <c:pt idx="51">
                  <c:v>0.2893</c:v>
                </c:pt>
                <c:pt idx="52">
                  <c:v>0.2892</c:v>
                </c:pt>
                <c:pt idx="53">
                  <c:v>0.2891</c:v>
                </c:pt>
                <c:pt idx="54">
                  <c:v>0.289</c:v>
                </c:pt>
                <c:pt idx="55">
                  <c:v>0.2889</c:v>
                </c:pt>
                <c:pt idx="56">
                  <c:v>0.2888</c:v>
                </c:pt>
                <c:pt idx="57">
                  <c:v>0.2888</c:v>
                </c:pt>
                <c:pt idx="58">
                  <c:v>0.2887</c:v>
                </c:pt>
                <c:pt idx="59">
                  <c:v>0.2886</c:v>
                </c:pt>
              </c:numCache>
            </c:numRef>
          </c:val>
        </c:ser>
        <c:ser>
          <c:idx val="1"/>
          <c:order val="1"/>
          <c:tx>
            <c:v>Wettbewerber</c:v>
          </c:tx>
          <c:spPr>
            <a:ln w="31750">
              <a:solidFill>
                <a:srgbClr val="F59E0B"/>
              </a:solidFill>
              <a:prstDash val="dash"/>
            </a:ln>
          </c:spPr>
          <c:marker>
            <c:symbol val="none"/>
          </c:marker>
          <c:cat>
            <c:strRef>
              <c:f>'Novo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Forecast'!$M$9:$M$68</c:f>
              <c:numCache>
                <c:formatCode>General</c:formatCode>
                <c:ptCount val="60"/>
                <c:pt idx="0">
                  <c:v>0.097</c:v>
                </c:pt>
                <c:pt idx="1">
                  <c:v>0.09909999999999999</c:v>
                </c:pt>
                <c:pt idx="2">
                  <c:v>0.1015</c:v>
                </c:pt>
                <c:pt idx="3">
                  <c:v>0.104</c:v>
                </c:pt>
                <c:pt idx="4">
                  <c:v>0.1067</c:v>
                </c:pt>
                <c:pt idx="5">
                  <c:v>0.1097</c:v>
                </c:pt>
                <c:pt idx="6">
                  <c:v>0.1129</c:v>
                </c:pt>
                <c:pt idx="7">
                  <c:v>0.1163</c:v>
                </c:pt>
                <c:pt idx="8">
                  <c:v>0.1199</c:v>
                </c:pt>
                <c:pt idx="9">
                  <c:v>0.1237</c:v>
                </c:pt>
                <c:pt idx="10">
                  <c:v>0.1278</c:v>
                </c:pt>
                <c:pt idx="11">
                  <c:v>0.132</c:v>
                </c:pt>
                <c:pt idx="12">
                  <c:v>0.1365</c:v>
                </c:pt>
                <c:pt idx="13">
                  <c:v>0.1411</c:v>
                </c:pt>
                <c:pt idx="14">
                  <c:v>0.1458</c:v>
                </c:pt>
                <c:pt idx="15">
                  <c:v>0.1507</c:v>
                </c:pt>
                <c:pt idx="16">
                  <c:v>0.1556</c:v>
                </c:pt>
                <c:pt idx="17">
                  <c:v>0.1606</c:v>
                </c:pt>
                <c:pt idx="18">
                  <c:v>0.1657</c:v>
                </c:pt>
                <c:pt idx="19">
                  <c:v>0.1707</c:v>
                </c:pt>
                <c:pt idx="20">
                  <c:v>0.1758</c:v>
                </c:pt>
                <c:pt idx="21">
                  <c:v>0.1808</c:v>
                </c:pt>
                <c:pt idx="22">
                  <c:v>0.1857</c:v>
                </c:pt>
                <c:pt idx="23">
                  <c:v>0.1905</c:v>
                </c:pt>
                <c:pt idx="24">
                  <c:v>0.1951</c:v>
                </c:pt>
                <c:pt idx="25">
                  <c:v>0.1997</c:v>
                </c:pt>
                <c:pt idx="26">
                  <c:v>0.204</c:v>
                </c:pt>
                <c:pt idx="27">
                  <c:v>0.2081</c:v>
                </c:pt>
                <c:pt idx="28">
                  <c:v>0.212</c:v>
                </c:pt>
                <c:pt idx="29">
                  <c:v>0.2157</c:v>
                </c:pt>
                <c:pt idx="30">
                  <c:v>0.2192</c:v>
                </c:pt>
                <c:pt idx="31">
                  <c:v>0.2226</c:v>
                </c:pt>
                <c:pt idx="32">
                  <c:v>0.2256</c:v>
                </c:pt>
                <c:pt idx="33">
                  <c:v>0.2285</c:v>
                </c:pt>
                <c:pt idx="34">
                  <c:v>0.2311</c:v>
                </c:pt>
                <c:pt idx="35">
                  <c:v>0.2336</c:v>
                </c:pt>
                <c:pt idx="36">
                  <c:v>0.2358</c:v>
                </c:pt>
                <c:pt idx="37">
                  <c:v>0.2378</c:v>
                </c:pt>
                <c:pt idx="38">
                  <c:v>0.2398</c:v>
                </c:pt>
                <c:pt idx="39">
                  <c:v>0.2415</c:v>
                </c:pt>
                <c:pt idx="40">
                  <c:v>0.2431</c:v>
                </c:pt>
                <c:pt idx="41">
                  <c:v>0.2446</c:v>
                </c:pt>
                <c:pt idx="42">
                  <c:v>0.2459</c:v>
                </c:pt>
                <c:pt idx="43">
                  <c:v>0.247</c:v>
                </c:pt>
                <c:pt idx="44">
                  <c:v>0.2481</c:v>
                </c:pt>
                <c:pt idx="45">
                  <c:v>0.2491</c:v>
                </c:pt>
                <c:pt idx="46">
                  <c:v>0.25</c:v>
                </c:pt>
                <c:pt idx="47">
                  <c:v>0.2508</c:v>
                </c:pt>
                <c:pt idx="48">
                  <c:v>0.2515</c:v>
                </c:pt>
                <c:pt idx="49">
                  <c:v>0.2521</c:v>
                </c:pt>
                <c:pt idx="50">
                  <c:v>0.2528</c:v>
                </c:pt>
                <c:pt idx="51">
                  <c:v>0.2533</c:v>
                </c:pt>
                <c:pt idx="52">
                  <c:v>0.2538</c:v>
                </c:pt>
                <c:pt idx="53">
                  <c:v>0.2542</c:v>
                </c:pt>
                <c:pt idx="54">
                  <c:v>0.2545</c:v>
                </c:pt>
                <c:pt idx="55">
                  <c:v>0.255</c:v>
                </c:pt>
                <c:pt idx="56">
                  <c:v>0.2552</c:v>
                </c:pt>
                <c:pt idx="57">
                  <c:v>0.2555</c:v>
                </c:pt>
                <c:pt idx="58">
                  <c:v>0.2557</c:v>
                </c:pt>
                <c:pt idx="59">
                  <c:v>0.256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Marktanteil</a:t>
                </a:r>
              </a:p>
            </c:rich>
          </c:tx>
          <c:layout/>
        </c:title>
        <c:numFmt formatCode="0%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Umsatz nach Indikation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T2D</c:v>
          </c:tx>
          <c:spPr>
            <a:solidFill>
              <a:srgbClr val="3B82F6"/>
            </a:solidFill>
          </c:spPr>
          <c:cat>
            <c:strRef>
              <c:f>'Novo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Forecast'!$J$9:$J$68</c:f>
              <c:numCache>
                <c:formatCode>General</c:formatCode>
                <c:ptCount val="60"/>
                <c:pt idx="0">
                  <c:v>84666602.31</c:v>
                </c:pt>
                <c:pt idx="1">
                  <c:v>84836007.98</c:v>
                </c:pt>
                <c:pt idx="2">
                  <c:v>85034079.98999999</c:v>
                </c:pt>
                <c:pt idx="3">
                  <c:v>85261392.88</c:v>
                </c:pt>
                <c:pt idx="4">
                  <c:v>85518220.63</c:v>
                </c:pt>
                <c:pt idx="5">
                  <c:v>85804483.58</c:v>
                </c:pt>
                <c:pt idx="6">
                  <c:v>86119697.98</c:v>
                </c:pt>
                <c:pt idx="7">
                  <c:v>86462931.09999999</c:v>
                </c:pt>
                <c:pt idx="8">
                  <c:v>86832765.42</c:v>
                </c:pt>
                <c:pt idx="9">
                  <c:v>87227275.37</c:v>
                </c:pt>
                <c:pt idx="10">
                  <c:v>87644020.09999999</c:v>
                </c:pt>
                <c:pt idx="11">
                  <c:v>88080055.14</c:v>
                </c:pt>
                <c:pt idx="12">
                  <c:v>88531965.05</c:v>
                </c:pt>
                <c:pt idx="13">
                  <c:v>88995917.78</c:v>
                </c:pt>
                <c:pt idx="14">
                  <c:v>89467740.25</c:v>
                </c:pt>
                <c:pt idx="15">
                  <c:v>89943012.45999999</c:v>
                </c:pt>
                <c:pt idx="16">
                  <c:v>90417176.48</c:v>
                </c:pt>
                <c:pt idx="17">
                  <c:v>90885654.56999999</c:v>
                </c:pt>
                <c:pt idx="18">
                  <c:v>91343970.34</c:v>
                </c:pt>
                <c:pt idx="19">
                  <c:v>91787865.89</c:v>
                </c:pt>
                <c:pt idx="20">
                  <c:v>92213408.5</c:v>
                </c:pt>
                <c:pt idx="21">
                  <c:v>92617081.16</c:v>
                </c:pt>
                <c:pt idx="22">
                  <c:v>92995852.56</c:v>
                </c:pt>
                <c:pt idx="23">
                  <c:v>93347224.05</c:v>
                </c:pt>
                <c:pt idx="24">
                  <c:v>93669252.88</c:v>
                </c:pt>
                <c:pt idx="25">
                  <c:v>93960552.56999999</c:v>
                </c:pt>
                <c:pt idx="26">
                  <c:v>94220273.12</c:v>
                </c:pt>
                <c:pt idx="27">
                  <c:v>94448064.40000001</c:v>
                </c:pt>
                <c:pt idx="28">
                  <c:v>94644027.02</c:v>
                </c:pt>
                <c:pt idx="29">
                  <c:v>94808654.76000001</c:v>
                </c:pt>
                <c:pt idx="30">
                  <c:v>94942772.73999999</c:v>
                </c:pt>
                <c:pt idx="31">
                  <c:v>95047474.81</c:v>
                </c:pt>
                <c:pt idx="32">
                  <c:v>95124063.08</c:v>
                </c:pt>
                <c:pt idx="33">
                  <c:v>95173991.59</c:v>
                </c:pt>
                <c:pt idx="34">
                  <c:v>95198815.83</c:v>
                </c:pt>
                <c:pt idx="35">
                  <c:v>95200148.65000001</c:v>
                </c:pt>
                <c:pt idx="36">
                  <c:v>95179622.98</c:v>
                </c:pt>
                <c:pt idx="37">
                  <c:v>95138861.23</c:v>
                </c:pt>
                <c:pt idx="38">
                  <c:v>95079450.90000001</c:v>
                </c:pt>
                <c:pt idx="39">
                  <c:v>95002925.92</c:v>
                </c:pt>
                <c:pt idx="40">
                  <c:v>94910752.90000001</c:v>
                </c:pt>
                <c:pt idx="41">
                  <c:v>94804321.59999999</c:v>
                </c:pt>
                <c:pt idx="42">
                  <c:v>94684939.09</c:v>
                </c:pt>
                <c:pt idx="43">
                  <c:v>94553826.59</c:v>
                </c:pt>
                <c:pt idx="44">
                  <c:v>94412118.81999999</c:v>
                </c:pt>
                <c:pt idx="45">
                  <c:v>94260864.92</c:v>
                </c:pt>
                <c:pt idx="46">
                  <c:v>94101030.91</c:v>
                </c:pt>
                <c:pt idx="47">
                  <c:v>93933502.93000001</c:v>
                </c:pt>
                <c:pt idx="48">
                  <c:v>93759091.26000001</c:v>
                </c:pt>
                <c:pt idx="49">
                  <c:v>93578534.73</c:v>
                </c:pt>
                <c:pt idx="50">
                  <c:v>93392505.34</c:v>
                </c:pt>
                <c:pt idx="51">
                  <c:v>93201612.98999999</c:v>
                </c:pt>
                <c:pt idx="52">
                  <c:v>93006410.09999999</c:v>
                </c:pt>
                <c:pt idx="53">
                  <c:v>92807396.25</c:v>
                </c:pt>
                <c:pt idx="54">
                  <c:v>92605022.47</c:v>
                </c:pt>
                <c:pt idx="55">
                  <c:v>92399695.48</c:v>
                </c:pt>
                <c:pt idx="56">
                  <c:v>92191781.54000001</c:v>
                </c:pt>
                <c:pt idx="57">
                  <c:v>91981610.17</c:v>
                </c:pt>
                <c:pt idx="58">
                  <c:v>91769477.53</c:v>
                </c:pt>
                <c:pt idx="59">
                  <c:v>91555649.56</c:v>
                </c:pt>
              </c:numCache>
            </c:numRef>
          </c:val>
        </c:ser>
        <c:ser>
          <c:idx val="1"/>
          <c:order val="1"/>
          <c:tx>
            <c:v>Adipositas</c:v>
          </c:tx>
          <c:spPr>
            <a:solidFill>
              <a:srgbClr val="22C55E"/>
            </a:solidFill>
          </c:spPr>
          <c:cat>
            <c:strRef>
              <c:f>'Novo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Forecast'!$K$9:$K$68</c:f>
              <c:numCache>
                <c:formatCode>General</c:formatCode>
                <c:ptCount val="60"/>
                <c:pt idx="0">
                  <c:v>603526.08</c:v>
                </c:pt>
                <c:pt idx="1">
                  <c:v>626723.46</c:v>
                </c:pt>
                <c:pt idx="2">
                  <c:v>652434.16</c:v>
                </c:pt>
                <c:pt idx="3">
                  <c:v>680867.54</c:v>
                </c:pt>
                <c:pt idx="4">
                  <c:v>712235.78</c:v>
                </c:pt>
                <c:pt idx="5">
                  <c:v>746749.59</c:v>
                </c:pt>
                <c:pt idx="6">
                  <c:v>784612.76</c:v>
                </c:pt>
                <c:pt idx="7">
                  <c:v>826015.67</c:v>
                </c:pt>
                <c:pt idx="8">
                  <c:v>871127.6899999999</c:v>
                </c:pt>
                <c:pt idx="9">
                  <c:v>920088.63</c:v>
                </c:pt>
                <c:pt idx="10">
                  <c:v>972999.55</c:v>
                </c:pt>
                <c:pt idx="11">
                  <c:v>1029913.29</c:v>
                </c:pt>
                <c:pt idx="12">
                  <c:v>1090825.11</c:v>
                </c:pt>
                <c:pt idx="13">
                  <c:v>1155664.32</c:v>
                </c:pt>
                <c:pt idx="14">
                  <c:v>1224287.27</c:v>
                </c:pt>
                <c:pt idx="15">
                  <c:v>1296472.69</c:v>
                </c:pt>
                <c:pt idx="16">
                  <c:v>1371919.77</c:v>
                </c:pt>
                <c:pt idx="17">
                  <c:v>1450249.73</c:v>
                </c:pt>
                <c:pt idx="18">
                  <c:v>1531010.85</c:v>
                </c:pt>
                <c:pt idx="19">
                  <c:v>1613687.34</c:v>
                </c:pt>
                <c:pt idx="20">
                  <c:v>1697711.44</c:v>
                </c:pt>
                <c:pt idx="21">
                  <c:v>1782478.28</c:v>
                </c:pt>
                <c:pt idx="22">
                  <c:v>1867362.8</c:v>
                </c:pt>
                <c:pt idx="23">
                  <c:v>1951737.46</c:v>
                </c:pt>
                <c:pt idx="24">
                  <c:v>2034989.93</c:v>
                </c:pt>
                <c:pt idx="25">
                  <c:v>2116539.53</c:v>
                </c:pt>
                <c:pt idx="26">
                  <c:v>2195851.7</c:v>
                </c:pt>
                <c:pt idx="27">
                  <c:v>2272449.71</c:v>
                </c:pt>
                <c:pt idx="28">
                  <c:v>2345923.22</c:v>
                </c:pt>
                <c:pt idx="29">
                  <c:v>2415933.61</c:v>
                </c:pt>
                <c:pt idx="30">
                  <c:v>2482216.08</c:v>
                </c:pt>
                <c:pt idx="31">
                  <c:v>2544578.83</c:v>
                </c:pt>
                <c:pt idx="32">
                  <c:v>2602899.81</c:v>
                </c:pt>
                <c:pt idx="33">
                  <c:v>2657121.54</c:v>
                </c:pt>
                <c:pt idx="34">
                  <c:v>2707244.51</c:v>
                </c:pt>
                <c:pt idx="35">
                  <c:v>2753319.74</c:v>
                </c:pt>
                <c:pt idx="36">
                  <c:v>2795440.91</c:v>
                </c:pt>
                <c:pt idx="37">
                  <c:v>2833736.55</c:v>
                </c:pt>
                <c:pt idx="38">
                  <c:v>2868362.51</c:v>
                </c:pt>
                <c:pt idx="39">
                  <c:v>2899495</c:v>
                </c:pt>
                <c:pt idx="40">
                  <c:v>2927324.32</c:v>
                </c:pt>
                <c:pt idx="41">
                  <c:v>2952049.33</c:v>
                </c:pt>
                <c:pt idx="42">
                  <c:v>2973872.84</c:v>
                </c:pt>
                <c:pt idx="43">
                  <c:v>2992997.62</c:v>
                </c:pt>
                <c:pt idx="44">
                  <c:v>3009623.34</c:v>
                </c:pt>
                <c:pt idx="45">
                  <c:v>3023944.01</c:v>
                </c:pt>
                <c:pt idx="46">
                  <c:v>3036146.16</c:v>
                </c:pt>
                <c:pt idx="47">
                  <c:v>3046407.51</c:v>
                </c:pt>
                <c:pt idx="48">
                  <c:v>3054895.98</c:v>
                </c:pt>
                <c:pt idx="49">
                  <c:v>3061769.27</c:v>
                </c:pt>
                <c:pt idx="50">
                  <c:v>3067174.51</c:v>
                </c:pt>
                <c:pt idx="51">
                  <c:v>3071248.35</c:v>
                </c:pt>
                <c:pt idx="52">
                  <c:v>3074117.08</c:v>
                </c:pt>
                <c:pt idx="53">
                  <c:v>3075896.99</c:v>
                </c:pt>
                <c:pt idx="54">
                  <c:v>3076694.79</c:v>
                </c:pt>
                <c:pt idx="55">
                  <c:v>3076608.09</c:v>
                </c:pt>
                <c:pt idx="56">
                  <c:v>3075725.93</c:v>
                </c:pt>
                <c:pt idx="57">
                  <c:v>3074129.34</c:v>
                </c:pt>
                <c:pt idx="58">
                  <c:v>3071891.94</c:v>
                </c:pt>
                <c:pt idx="59">
                  <c:v>3069080.42</c:v>
                </c:pt>
              </c:numCache>
            </c:numRef>
          </c:val>
        </c:ser>
        <c:overlap val="100"/>
        <c:axId val="50050001"/>
        <c:axId val="50050002"/>
      </c:barChart>
      <c:lineChart>
        <c:grouping val="standard"/>
        <c:ser>
          <c:idx val="2"/>
          <c:order val="2"/>
          <c:tx>
            <c:v>Kum. Umsatz</c:v>
          </c:tx>
          <c:spPr>
            <a:ln w="31750">
              <a:solidFill>
                <a:srgbClr val="166534"/>
              </a:solidFill>
            </a:ln>
          </c:spPr>
          <c:marker>
            <c:symbol val="none"/>
          </c:marker>
          <c:cat>
            <c:strRef>
              <c:f>'Novo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Forecast'!$Q$9:$Q$68</c:f>
              <c:numCache>
                <c:formatCode>General</c:formatCode>
                <c:ptCount val="60"/>
                <c:pt idx="0">
                  <c:v>85270128.39</c:v>
                </c:pt>
                <c:pt idx="1">
                  <c:v>170732859.82</c:v>
                </c:pt>
                <c:pt idx="2">
                  <c:v>256419373.96</c:v>
                </c:pt>
                <c:pt idx="3">
                  <c:v>342361634.38</c:v>
                </c:pt>
                <c:pt idx="4">
                  <c:v>428592090.8</c:v>
                </c:pt>
                <c:pt idx="5">
                  <c:v>515143323.98</c:v>
                </c:pt>
                <c:pt idx="6">
                  <c:v>602047634.72</c:v>
                </c:pt>
                <c:pt idx="7">
                  <c:v>689336581.49</c:v>
                </c:pt>
                <c:pt idx="8">
                  <c:v>777040474.6</c:v>
                </c:pt>
                <c:pt idx="9">
                  <c:v>865187838.59</c:v>
                </c:pt>
                <c:pt idx="10">
                  <c:v>953804858.24</c:v>
                </c:pt>
                <c:pt idx="11">
                  <c:v>1042914826.67</c:v>
                </c:pt>
                <c:pt idx="12">
                  <c:v>1132537616.83</c:v>
                </c:pt>
                <c:pt idx="13">
                  <c:v>1222689198.93</c:v>
                </c:pt>
                <c:pt idx="14">
                  <c:v>1313381226.45</c:v>
                </c:pt>
                <c:pt idx="15">
                  <c:v>1404620711.6</c:v>
                </c:pt>
                <c:pt idx="16">
                  <c:v>1496409807.85</c:v>
                </c:pt>
                <c:pt idx="17">
                  <c:v>1588745712.14</c:v>
                </c:pt>
                <c:pt idx="18">
                  <c:v>1681620693.33</c:v>
                </c:pt>
                <c:pt idx="19">
                  <c:v>1775022246.56</c:v>
                </c:pt>
                <c:pt idx="20">
                  <c:v>1868933366.5</c:v>
                </c:pt>
                <c:pt idx="21">
                  <c:v>1963332925.94</c:v>
                </c:pt>
                <c:pt idx="22">
                  <c:v>2058196141.29</c:v>
                </c:pt>
                <c:pt idx="23">
                  <c:v>2153495102.8</c:v>
                </c:pt>
                <c:pt idx="24">
                  <c:v>2249199345.61</c:v>
                </c:pt>
                <c:pt idx="25">
                  <c:v>2345276437.71</c:v>
                </c:pt>
                <c:pt idx="26">
                  <c:v>2441692562.53</c:v>
                </c:pt>
                <c:pt idx="27">
                  <c:v>2538413076.63</c:v>
                </c:pt>
                <c:pt idx="28">
                  <c:v>2635403026.86</c:v>
                </c:pt>
                <c:pt idx="29">
                  <c:v>2732627615.23</c:v>
                </c:pt>
                <c:pt idx="30">
                  <c:v>2830052604.05</c:v>
                </c:pt>
                <c:pt idx="31">
                  <c:v>2927644657.69</c:v>
                </c:pt>
                <c:pt idx="32">
                  <c:v>3025371620.58</c:v>
                </c:pt>
                <c:pt idx="33">
                  <c:v>3123202733.71</c:v>
                </c:pt>
                <c:pt idx="34">
                  <c:v>3221108794.05</c:v>
                </c:pt>
                <c:pt idx="35">
                  <c:v>3319062262.44</c:v>
                </c:pt>
                <c:pt idx="36">
                  <c:v>3417037326.33</c:v>
                </c:pt>
                <c:pt idx="37">
                  <c:v>3515009924.1</c:v>
                </c:pt>
                <c:pt idx="38">
                  <c:v>3612957737.51</c:v>
                </c:pt>
                <c:pt idx="39">
                  <c:v>3710860158.44</c:v>
                </c:pt>
                <c:pt idx="40">
                  <c:v>3808698235.65</c:v>
                </c:pt>
                <c:pt idx="41">
                  <c:v>3906454606.59</c:v>
                </c:pt>
                <c:pt idx="42">
                  <c:v>4004113418.52</c:v>
                </c:pt>
                <c:pt idx="43">
                  <c:v>4101660242.74</c:v>
                </c:pt>
                <c:pt idx="44">
                  <c:v>4199081984.89</c:v>
                </c:pt>
                <c:pt idx="45">
                  <c:v>4296366793.82</c:v>
                </c:pt>
                <c:pt idx="46">
                  <c:v>4393503970.9</c:v>
                </c:pt>
                <c:pt idx="47">
                  <c:v>4490483881.34</c:v>
                </c:pt>
                <c:pt idx="48">
                  <c:v>4587297868.58</c:v>
                </c:pt>
                <c:pt idx="49">
                  <c:v>4683938172.58</c:v>
                </c:pt>
                <c:pt idx="50">
                  <c:v>4780397852.44</c:v>
                </c:pt>
                <c:pt idx="51">
                  <c:v>4876670713.78</c:v>
                </c:pt>
                <c:pt idx="52">
                  <c:v>4972751240.96</c:v>
                </c:pt>
                <c:pt idx="53">
                  <c:v>5068634534.2</c:v>
                </c:pt>
                <c:pt idx="54">
                  <c:v>5164316251.47</c:v>
                </c:pt>
                <c:pt idx="55">
                  <c:v>5259792555.04</c:v>
                </c:pt>
                <c:pt idx="56">
                  <c:v>5355060062.51</c:v>
                </c:pt>
                <c:pt idx="57">
                  <c:v>5450115802.02</c:v>
                </c:pt>
                <c:pt idx="58">
                  <c:v>5544957171.49</c:v>
                </c:pt>
                <c:pt idx="59">
                  <c:v>5639581901.47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Monatl. Umsatz (EUR)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Patienten nach Indikation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T2D</c:v>
          </c:tx>
          <c:spPr>
            <a:solidFill>
              <a:srgbClr val="93C5FD"/>
            </a:solidFill>
            <a:ln w="12700">
              <a:solidFill>
                <a:srgbClr val="3B82F6"/>
              </a:solidFill>
            </a:ln>
          </c:spPr>
          <c:cat>
            <c:strRef>
              <c:f>'Novo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Forecast'!$E$9:$E$68</c:f>
              <c:numCache>
                <c:formatCode>General</c:formatCode>
                <c:ptCount val="60"/>
                <c:pt idx="0">
                  <c:v>282222</c:v>
                </c:pt>
                <c:pt idx="1">
                  <c:v>283505</c:v>
                </c:pt>
                <c:pt idx="2">
                  <c:v>284890</c:v>
                </c:pt>
                <c:pt idx="3">
                  <c:v>286377</c:v>
                </c:pt>
                <c:pt idx="4">
                  <c:v>287970</c:v>
                </c:pt>
                <c:pt idx="5">
                  <c:v>289668</c:v>
                </c:pt>
                <c:pt idx="6">
                  <c:v>291471</c:v>
                </c:pt>
                <c:pt idx="7">
                  <c:v>293376</c:v>
                </c:pt>
                <c:pt idx="8">
                  <c:v>295380</c:v>
                </c:pt>
                <c:pt idx="9">
                  <c:v>297476</c:v>
                </c:pt>
                <c:pt idx="10">
                  <c:v>299657</c:v>
                </c:pt>
                <c:pt idx="11">
                  <c:v>301913</c:v>
                </c:pt>
                <c:pt idx="12">
                  <c:v>304234</c:v>
                </c:pt>
                <c:pt idx="13">
                  <c:v>306605</c:v>
                </c:pt>
                <c:pt idx="14">
                  <c:v>309014</c:v>
                </c:pt>
                <c:pt idx="15">
                  <c:v>311445</c:v>
                </c:pt>
                <c:pt idx="16">
                  <c:v>313883</c:v>
                </c:pt>
                <c:pt idx="17">
                  <c:v>316311</c:v>
                </c:pt>
                <c:pt idx="18">
                  <c:v>318714</c:v>
                </c:pt>
                <c:pt idx="19">
                  <c:v>321077</c:v>
                </c:pt>
                <c:pt idx="20">
                  <c:v>323385</c:v>
                </c:pt>
                <c:pt idx="21">
                  <c:v>325626</c:v>
                </c:pt>
                <c:pt idx="22">
                  <c:v>327789</c:v>
                </c:pt>
                <c:pt idx="23">
                  <c:v>329864</c:v>
                </c:pt>
                <c:pt idx="24">
                  <c:v>331843</c:v>
                </c:pt>
                <c:pt idx="25">
                  <c:v>333721</c:v>
                </c:pt>
                <c:pt idx="26">
                  <c:v>335494</c:v>
                </c:pt>
                <c:pt idx="27">
                  <c:v>337160</c:v>
                </c:pt>
                <c:pt idx="28">
                  <c:v>338718</c:v>
                </c:pt>
                <c:pt idx="29">
                  <c:v>340169</c:v>
                </c:pt>
                <c:pt idx="30">
                  <c:v>341516</c:v>
                </c:pt>
                <c:pt idx="31">
                  <c:v>342762</c:v>
                </c:pt>
                <c:pt idx="32">
                  <c:v>343910</c:v>
                </c:pt>
                <c:pt idx="33">
                  <c:v>344965</c:v>
                </c:pt>
                <c:pt idx="34">
                  <c:v>345932</c:v>
                </c:pt>
                <c:pt idx="35">
                  <c:v>346816</c:v>
                </c:pt>
                <c:pt idx="36">
                  <c:v>347622</c:v>
                </c:pt>
                <c:pt idx="37">
                  <c:v>348356</c:v>
                </c:pt>
                <c:pt idx="38">
                  <c:v>349024</c:v>
                </c:pt>
                <c:pt idx="39">
                  <c:v>349629</c:v>
                </c:pt>
                <c:pt idx="40">
                  <c:v>350178</c:v>
                </c:pt>
                <c:pt idx="41">
                  <c:v>350674</c:v>
                </c:pt>
                <c:pt idx="42">
                  <c:v>351122</c:v>
                </c:pt>
                <c:pt idx="43">
                  <c:v>351527</c:v>
                </c:pt>
                <c:pt idx="44">
                  <c:v>351893</c:v>
                </c:pt>
                <c:pt idx="45">
                  <c:v>352222</c:v>
                </c:pt>
                <c:pt idx="46">
                  <c:v>352518</c:v>
                </c:pt>
                <c:pt idx="47">
                  <c:v>352785</c:v>
                </c:pt>
                <c:pt idx="48">
                  <c:v>353025</c:v>
                </c:pt>
                <c:pt idx="49">
                  <c:v>353240</c:v>
                </c:pt>
                <c:pt idx="50">
                  <c:v>353434</c:v>
                </c:pt>
                <c:pt idx="51">
                  <c:v>353608</c:v>
                </c:pt>
                <c:pt idx="52">
                  <c:v>353764</c:v>
                </c:pt>
                <c:pt idx="53">
                  <c:v>353905</c:v>
                </c:pt>
                <c:pt idx="54">
                  <c:v>354030</c:v>
                </c:pt>
                <c:pt idx="55">
                  <c:v>354143</c:v>
                </c:pt>
                <c:pt idx="56">
                  <c:v>354244</c:v>
                </c:pt>
                <c:pt idx="57">
                  <c:v>354335</c:v>
                </c:pt>
                <c:pt idx="58">
                  <c:v>354416</c:v>
                </c:pt>
                <c:pt idx="59">
                  <c:v>354489</c:v>
                </c:pt>
              </c:numCache>
            </c:numRef>
          </c:val>
        </c:ser>
        <c:ser>
          <c:idx val="1"/>
          <c:order val="1"/>
          <c:tx>
            <c:v>Adipositas</c:v>
          </c:tx>
          <c:spPr>
            <a:solidFill>
              <a:srgbClr val="86EFAC"/>
            </a:solidFill>
            <a:ln w="12700">
              <a:solidFill>
                <a:srgbClr val="22C55E"/>
              </a:solidFill>
            </a:ln>
          </c:spPr>
          <c:cat>
            <c:strRef>
              <c:f>'Novo Forecast'!$B$9:$B$68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Forecast'!$F$9:$F$68</c:f>
              <c:numCache>
                <c:formatCode>General</c:formatCode>
                <c:ptCount val="60"/>
                <c:pt idx="0">
                  <c:v>2179</c:v>
                </c:pt>
                <c:pt idx="1">
                  <c:v>2268</c:v>
                </c:pt>
                <c:pt idx="2">
                  <c:v>2367</c:v>
                </c:pt>
                <c:pt idx="3">
                  <c:v>2477</c:v>
                </c:pt>
                <c:pt idx="4">
                  <c:v>2597</c:v>
                </c:pt>
                <c:pt idx="5">
                  <c:v>2730</c:v>
                </c:pt>
                <c:pt idx="6">
                  <c:v>2876</c:v>
                </c:pt>
                <c:pt idx="7">
                  <c:v>3035</c:v>
                </c:pt>
                <c:pt idx="8">
                  <c:v>3209</c:v>
                </c:pt>
                <c:pt idx="9">
                  <c:v>3398</c:v>
                </c:pt>
                <c:pt idx="10">
                  <c:v>3603</c:v>
                </c:pt>
                <c:pt idx="11">
                  <c:v>3823</c:v>
                </c:pt>
                <c:pt idx="12">
                  <c:v>4060</c:v>
                </c:pt>
                <c:pt idx="13">
                  <c:v>4312</c:v>
                </c:pt>
                <c:pt idx="14">
                  <c:v>4580</c:v>
                </c:pt>
                <c:pt idx="15">
                  <c:v>4862</c:v>
                </c:pt>
                <c:pt idx="16">
                  <c:v>5158</c:v>
                </c:pt>
                <c:pt idx="17">
                  <c:v>5466</c:v>
                </c:pt>
                <c:pt idx="18">
                  <c:v>5785</c:v>
                </c:pt>
                <c:pt idx="19">
                  <c:v>6113</c:v>
                </c:pt>
                <c:pt idx="20">
                  <c:v>6448</c:v>
                </c:pt>
                <c:pt idx="21">
                  <c:v>6787</c:v>
                </c:pt>
                <c:pt idx="22">
                  <c:v>7129</c:v>
                </c:pt>
                <c:pt idx="23">
                  <c:v>7470</c:v>
                </c:pt>
                <c:pt idx="24">
                  <c:v>7808</c:v>
                </c:pt>
                <c:pt idx="25">
                  <c:v>8142</c:v>
                </c:pt>
                <c:pt idx="26">
                  <c:v>8468</c:v>
                </c:pt>
                <c:pt idx="27">
                  <c:v>8786</c:v>
                </c:pt>
                <c:pt idx="28">
                  <c:v>9093</c:v>
                </c:pt>
                <c:pt idx="29">
                  <c:v>9388</c:v>
                </c:pt>
                <c:pt idx="30">
                  <c:v>9670</c:v>
                </c:pt>
                <c:pt idx="31">
                  <c:v>9938</c:v>
                </c:pt>
                <c:pt idx="32">
                  <c:v>10192</c:v>
                </c:pt>
                <c:pt idx="33">
                  <c:v>10431</c:v>
                </c:pt>
                <c:pt idx="34">
                  <c:v>10654</c:v>
                </c:pt>
                <c:pt idx="35">
                  <c:v>10863</c:v>
                </c:pt>
                <c:pt idx="36">
                  <c:v>11057</c:v>
                </c:pt>
                <c:pt idx="37">
                  <c:v>11237</c:v>
                </c:pt>
                <c:pt idx="38">
                  <c:v>11404</c:v>
                </c:pt>
                <c:pt idx="39">
                  <c:v>11557</c:v>
                </c:pt>
                <c:pt idx="40">
                  <c:v>11697</c:v>
                </c:pt>
                <c:pt idx="41">
                  <c:v>11826</c:v>
                </c:pt>
                <c:pt idx="42">
                  <c:v>11944</c:v>
                </c:pt>
                <c:pt idx="43">
                  <c:v>12051</c:v>
                </c:pt>
                <c:pt idx="44">
                  <c:v>12149</c:v>
                </c:pt>
                <c:pt idx="45">
                  <c:v>12238</c:v>
                </c:pt>
                <c:pt idx="46">
                  <c:v>12318</c:v>
                </c:pt>
                <c:pt idx="47">
                  <c:v>12391</c:v>
                </c:pt>
                <c:pt idx="48">
                  <c:v>12457</c:v>
                </c:pt>
                <c:pt idx="49">
                  <c:v>12517</c:v>
                </c:pt>
                <c:pt idx="50">
                  <c:v>12571</c:v>
                </c:pt>
                <c:pt idx="51">
                  <c:v>12620</c:v>
                </c:pt>
                <c:pt idx="52">
                  <c:v>12664</c:v>
                </c:pt>
                <c:pt idx="53">
                  <c:v>12703</c:v>
                </c:pt>
                <c:pt idx="54">
                  <c:v>12739</c:v>
                </c:pt>
                <c:pt idx="55">
                  <c:v>12771</c:v>
                </c:pt>
                <c:pt idx="56">
                  <c:v>12800</c:v>
                </c:pt>
                <c:pt idx="57">
                  <c:v>12826</c:v>
                </c:pt>
                <c:pt idx="58">
                  <c:v>12849</c:v>
                </c:pt>
                <c:pt idx="59">
                  <c:v>12870</c:v>
                </c:pt>
              </c:numCache>
            </c:numRef>
          </c:val>
        </c:ser>
        <c:axId val="50060001"/>
        <c:axId val="50060002"/>
      </c:area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Patienten / Monat</a:t>
                </a:r>
              </a:p>
            </c:rich>
          </c:tx>
          <c:layout/>
        </c:title>
        <c:numFmt formatCode="#,##0" sourceLinked="0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69</xdr:row>
      <xdr:rowOff>0</xdr:rowOff>
    </xdr:from>
    <xdr:to>
      <xdr:col>8</xdr:col>
      <xdr:colOff>485775</xdr:colOff>
      <xdr:row>88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16</xdr:col>
      <xdr:colOff>285750</xdr:colOff>
      <xdr:row>88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89</xdr:row>
      <xdr:rowOff>0</xdr:rowOff>
    </xdr:from>
    <xdr:to>
      <xdr:col>8</xdr:col>
      <xdr:colOff>485775</xdr:colOff>
      <xdr:row>108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69</xdr:row>
      <xdr:rowOff>0</xdr:rowOff>
    </xdr:from>
    <xdr:to>
      <xdr:col>8</xdr:col>
      <xdr:colOff>485775</xdr:colOff>
      <xdr:row>88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16</xdr:col>
      <xdr:colOff>285750</xdr:colOff>
      <xdr:row>88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89</xdr:row>
      <xdr:rowOff>0</xdr:rowOff>
    </xdr:from>
    <xdr:to>
      <xdr:col>8</xdr:col>
      <xdr:colOff>485775</xdr:colOff>
      <xdr:row>108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B800"/>
  </sheetPr>
  <dimension ref="B2:E62"/>
  <sheetViews>
    <sheetView showGridLines="0" tabSelected="1" workbookViewId="0"/>
  </sheetViews>
  <sheetFormatPr defaultRowHeight="15"/>
  <cols>
    <col min="1" max="1" width="3.7109375" customWidth="1"/>
    <col min="2" max="2" width="44.7109375" customWidth="1"/>
    <col min="3" max="3" width="18.7109375" customWidth="1"/>
    <col min="4" max="4" width="55.7109375" customWidth="1"/>
  </cols>
  <sheetData>
    <row r="2" spans="2:4">
      <c r="B2" s="1" t="s">
        <v>0</v>
      </c>
      <c r="C2" s="1"/>
      <c r="D2" s="1"/>
    </row>
    <row r="3" spans="2:4">
      <c r="B3" s="2" t="s">
        <v>1</v>
      </c>
      <c r="C3" s="2"/>
      <c r="D3" s="2"/>
    </row>
    <row r="5" spans="2:4">
      <c r="B5" s="3" t="s">
        <v>2</v>
      </c>
      <c r="C5" s="3"/>
      <c r="D5" s="3"/>
    </row>
    <row r="6" spans="2:4">
      <c r="B6" s="4" t="s">
        <v>3</v>
      </c>
      <c r="C6" s="5">
        <v>6330000</v>
      </c>
      <c r="D6" s="6" t="s">
        <v>4</v>
      </c>
    </row>
    <row r="7" spans="2:4">
      <c r="B7" s="4" t="s">
        <v>5</v>
      </c>
      <c r="C7" s="7">
        <v>0.139</v>
      </c>
      <c r="D7" s="6" t="s">
        <v>6</v>
      </c>
    </row>
    <row r="8" spans="2:4">
      <c r="B8" s="4" t="s">
        <v>7</v>
      </c>
      <c r="C8" s="7">
        <v>0.22</v>
      </c>
      <c r="D8" s="6" t="s">
        <v>8</v>
      </c>
    </row>
    <row r="9" spans="2:4">
      <c r="B9" s="4" t="s">
        <v>9</v>
      </c>
      <c r="C9" s="7">
        <v>0.08</v>
      </c>
      <c r="D9" s="6" t="s">
        <v>10</v>
      </c>
    </row>
    <row r="10" spans="2:4">
      <c r="B10" s="4" t="s">
        <v>11</v>
      </c>
      <c r="C10" s="7">
        <v>0.25</v>
      </c>
      <c r="D10" s="6" t="s">
        <v>12</v>
      </c>
    </row>
    <row r="11" spans="2:4">
      <c r="B11" s="4" t="s">
        <v>13</v>
      </c>
      <c r="C11" s="7">
        <v>0.36</v>
      </c>
      <c r="D11" s="6" t="s">
        <v>14</v>
      </c>
    </row>
    <row r="12" spans="2:4">
      <c r="B12" s="4" t="s">
        <v>15</v>
      </c>
      <c r="C12" s="7">
        <v>0.3</v>
      </c>
      <c r="D12" s="6" t="s">
        <v>16</v>
      </c>
    </row>
    <row r="13" spans="2:4">
      <c r="B13" s="4" t="s">
        <v>17</v>
      </c>
      <c r="C13" s="8">
        <v>350</v>
      </c>
      <c r="D13" s="6" t="s">
        <v>18</v>
      </c>
    </row>
    <row r="14" spans="2:4">
      <c r="B14" s="4" t="s">
        <v>19</v>
      </c>
      <c r="C14" s="8">
        <v>300</v>
      </c>
      <c r="D14" s="6" t="s">
        <v>20</v>
      </c>
    </row>
    <row r="15" spans="2:4">
      <c r="B15" s="4" t="s">
        <v>21</v>
      </c>
      <c r="C15" s="7">
        <v>0.7</v>
      </c>
      <c r="D15" s="6" t="s">
        <v>22</v>
      </c>
    </row>
    <row r="16" spans="2:4">
      <c r="B16" s="4" t="s">
        <v>23</v>
      </c>
      <c r="C16" s="9" t="s">
        <v>24</v>
      </c>
      <c r="D16" s="6" t="s">
        <v>25</v>
      </c>
    </row>
    <row r="18" spans="2:4">
      <c r="B18" s="3" t="s">
        <v>26</v>
      </c>
      <c r="C18" s="3"/>
      <c r="D18" s="3"/>
    </row>
    <row r="19" spans="2:4">
      <c r="B19" s="4" t="s">
        <v>3</v>
      </c>
      <c r="C19" s="5">
        <v>8000000</v>
      </c>
      <c r="D19" s="6" t="s">
        <v>27</v>
      </c>
    </row>
    <row r="20" spans="2:4">
      <c r="B20" s="4" t="s">
        <v>28</v>
      </c>
      <c r="C20" s="7">
        <v>0.006</v>
      </c>
      <c r="D20" s="6" t="s">
        <v>29</v>
      </c>
    </row>
    <row r="21" spans="2:4">
      <c r="B21" s="4" t="s">
        <v>30</v>
      </c>
      <c r="C21" s="7">
        <v>0.015</v>
      </c>
      <c r="D21" s="6" t="s">
        <v>31</v>
      </c>
    </row>
    <row r="22" spans="2:4">
      <c r="B22" s="4" t="s">
        <v>32</v>
      </c>
      <c r="C22" s="7">
        <v>0.05</v>
      </c>
      <c r="D22" s="6" t="s">
        <v>33</v>
      </c>
    </row>
    <row r="23" spans="2:4">
      <c r="B23" s="4" t="s">
        <v>11</v>
      </c>
      <c r="C23" s="7">
        <v>0.35</v>
      </c>
      <c r="D23" s="6" t="s">
        <v>34</v>
      </c>
    </row>
    <row r="24" spans="2:4">
      <c r="B24" s="4" t="s">
        <v>15</v>
      </c>
      <c r="C24" s="7">
        <v>0.15</v>
      </c>
      <c r="D24" s="6" t="s">
        <v>35</v>
      </c>
    </row>
    <row r="25" spans="2:4">
      <c r="B25" s="4" t="s">
        <v>17</v>
      </c>
      <c r="C25" s="8">
        <v>300</v>
      </c>
      <c r="D25" s="6" t="s">
        <v>36</v>
      </c>
    </row>
    <row r="26" spans="2:4">
      <c r="B26" s="4" t="s">
        <v>37</v>
      </c>
      <c r="C26" s="8">
        <v>277</v>
      </c>
      <c r="D26" s="6" t="s">
        <v>38</v>
      </c>
    </row>
    <row r="27" spans="2:4">
      <c r="B27" s="4" t="s">
        <v>21</v>
      </c>
      <c r="C27" s="7">
        <v>0.45</v>
      </c>
      <c r="D27" s="6" t="s">
        <v>39</v>
      </c>
    </row>
    <row r="28" spans="2:4">
      <c r="B28" s="4" t="s">
        <v>40</v>
      </c>
      <c r="C28" s="9" t="s">
        <v>41</v>
      </c>
      <c r="D28" s="6" t="s">
        <v>42</v>
      </c>
    </row>
    <row r="30" spans="2:4">
      <c r="B30" s="3" t="s">
        <v>43</v>
      </c>
      <c r="C30" s="3"/>
      <c r="D30" s="3"/>
    </row>
    <row r="31" spans="2:4">
      <c r="B31" s="4" t="s">
        <v>3</v>
      </c>
      <c r="C31" s="5">
        <v>2000000</v>
      </c>
      <c r="D31" s="6" t="s">
        <v>44</v>
      </c>
    </row>
    <row r="32" spans="2:4">
      <c r="B32" s="4" t="s">
        <v>45</v>
      </c>
      <c r="C32" s="7">
        <v>0.05</v>
      </c>
      <c r="D32" s="6" t="s">
        <v>46</v>
      </c>
    </row>
    <row r="33" spans="2:4">
      <c r="B33" s="4" t="s">
        <v>47</v>
      </c>
      <c r="C33" s="7">
        <v>0.2</v>
      </c>
      <c r="D33" s="6" t="s">
        <v>48</v>
      </c>
    </row>
    <row r="34" spans="2:4">
      <c r="B34" s="4" t="s">
        <v>49</v>
      </c>
      <c r="C34" s="8">
        <v>350</v>
      </c>
      <c r="D34" s="6" t="s">
        <v>50</v>
      </c>
    </row>
    <row r="35" spans="2:4">
      <c r="B35" s="4" t="s">
        <v>21</v>
      </c>
      <c r="C35" s="7">
        <v>0.65</v>
      </c>
      <c r="D35" s="6" t="s">
        <v>51</v>
      </c>
    </row>
    <row r="36" spans="2:4">
      <c r="B36" s="4" t="s">
        <v>52</v>
      </c>
      <c r="C36" s="9" t="s">
        <v>41</v>
      </c>
      <c r="D36" s="6" t="s">
        <v>53</v>
      </c>
    </row>
    <row r="37" spans="2:4">
      <c r="B37" s="4" t="s">
        <v>54</v>
      </c>
      <c r="C37" s="5">
        <v>6</v>
      </c>
      <c r="D37" s="6" t="s">
        <v>55</v>
      </c>
    </row>
    <row r="39" spans="2:4">
      <c r="B39" s="3" t="s">
        <v>56</v>
      </c>
      <c r="C39" s="3"/>
      <c r="D39" s="3"/>
    </row>
    <row r="40" spans="2:4">
      <c r="B40" s="4" t="s">
        <v>3</v>
      </c>
      <c r="C40" s="5">
        <v>1500000</v>
      </c>
      <c r="D40" s="6" t="s">
        <v>57</v>
      </c>
    </row>
    <row r="41" spans="2:4">
      <c r="B41" s="4" t="s">
        <v>45</v>
      </c>
      <c r="C41" s="7">
        <v>0.03</v>
      </c>
      <c r="D41" s="6" t="s">
        <v>58</v>
      </c>
    </row>
    <row r="42" spans="2:4">
      <c r="B42" s="4" t="s">
        <v>47</v>
      </c>
      <c r="C42" s="7">
        <v>0.25</v>
      </c>
      <c r="D42" s="6" t="s">
        <v>59</v>
      </c>
    </row>
    <row r="43" spans="2:4">
      <c r="B43" s="4" t="s">
        <v>49</v>
      </c>
      <c r="C43" s="8">
        <v>350</v>
      </c>
      <c r="D43" s="6" t="s">
        <v>60</v>
      </c>
    </row>
    <row r="44" spans="2:4">
      <c r="B44" s="4" t="s">
        <v>21</v>
      </c>
      <c r="C44" s="7">
        <v>0.6</v>
      </c>
      <c r="D44" s="6" t="s">
        <v>61</v>
      </c>
    </row>
    <row r="45" spans="2:4">
      <c r="B45" s="4" t="s">
        <v>52</v>
      </c>
      <c r="C45" s="9" t="s">
        <v>41</v>
      </c>
      <c r="D45" s="6" t="s">
        <v>62</v>
      </c>
    </row>
    <row r="46" spans="2:4">
      <c r="B46" s="4" t="s">
        <v>54</v>
      </c>
      <c r="C46" s="5">
        <v>18</v>
      </c>
      <c r="D46" s="6" t="s">
        <v>63</v>
      </c>
    </row>
    <row r="48" spans="2:4">
      <c r="B48" s="3" t="s">
        <v>64</v>
      </c>
      <c r="C48" s="3"/>
      <c r="D48" s="3"/>
    </row>
    <row r="49" spans="2:5">
      <c r="B49" s="4" t="s">
        <v>65</v>
      </c>
      <c r="C49" s="7">
        <v>0.2</v>
      </c>
      <c r="D49" s="6" t="s">
        <v>66</v>
      </c>
    </row>
    <row r="50" spans="2:5">
      <c r="B50" s="4" t="s">
        <v>67</v>
      </c>
      <c r="C50" s="5">
        <v>800000</v>
      </c>
      <c r="D50" s="6" t="s">
        <v>68</v>
      </c>
    </row>
    <row r="51" spans="2:5">
      <c r="B51" s="4" t="s">
        <v>69</v>
      </c>
      <c r="C51" s="5">
        <v>200000</v>
      </c>
      <c r="D51" s="6" t="s">
        <v>70</v>
      </c>
    </row>
    <row r="52" spans="2:5">
      <c r="B52" s="4" t="s">
        <v>71</v>
      </c>
      <c r="C52" s="7">
        <v>-0.03</v>
      </c>
      <c r="D52" s="6" t="s">
        <v>72</v>
      </c>
    </row>
    <row r="53" spans="2:5">
      <c r="B53" s="4" t="s">
        <v>73</v>
      </c>
      <c r="C53" s="5">
        <v>5</v>
      </c>
      <c r="D53" s="6" t="s">
        <v>74</v>
      </c>
    </row>
    <row r="55" spans="2:5">
      <c r="B55" s="3" t="s">
        <v>75</v>
      </c>
      <c r="C55" s="3"/>
      <c r="D55" s="3"/>
      <c r="E55" s="3"/>
    </row>
    <row r="56" spans="2:5">
      <c r="B56" s="10" t="s">
        <v>76</v>
      </c>
      <c r="C56" s="10" t="s">
        <v>77</v>
      </c>
      <c r="D56" s="10" t="s">
        <v>78</v>
      </c>
      <c r="E56" s="10" t="s">
        <v>79</v>
      </c>
    </row>
    <row r="57" spans="2:5">
      <c r="B57" s="4" t="s">
        <v>80</v>
      </c>
      <c r="C57" s="7">
        <v>0.25</v>
      </c>
      <c r="D57" s="7">
        <v>0.35</v>
      </c>
      <c r="E57" s="7">
        <v>0.15</v>
      </c>
    </row>
    <row r="58" spans="2:5">
      <c r="B58" s="4" t="s">
        <v>81</v>
      </c>
      <c r="C58" s="7">
        <v>0.35</v>
      </c>
      <c r="D58" s="7">
        <v>0.45</v>
      </c>
      <c r="E58" s="7">
        <v>0.2</v>
      </c>
    </row>
    <row r="59" spans="2:5">
      <c r="B59" s="4" t="s">
        <v>82</v>
      </c>
      <c r="C59" s="5">
        <v>36</v>
      </c>
      <c r="D59" s="5">
        <v>24</v>
      </c>
      <c r="E59" s="5">
        <v>48</v>
      </c>
    </row>
    <row r="60" spans="2:5">
      <c r="B60" s="4" t="s">
        <v>83</v>
      </c>
      <c r="C60" s="7">
        <v>0.3</v>
      </c>
      <c r="D60" s="7">
        <v>0.25</v>
      </c>
      <c r="E60" s="7">
        <v>0.38</v>
      </c>
    </row>
    <row r="61" spans="2:5">
      <c r="B61" s="4" t="s">
        <v>84</v>
      </c>
      <c r="C61" s="11" t="s">
        <v>85</v>
      </c>
      <c r="D61" s="11" t="s">
        <v>86</v>
      </c>
      <c r="E61" s="11" t="s">
        <v>85</v>
      </c>
    </row>
    <row r="62" spans="2:5">
      <c r="B62" s="4" t="s">
        <v>87</v>
      </c>
      <c r="C62" s="7">
        <v>0.22</v>
      </c>
      <c r="D62" s="7">
        <v>0.28</v>
      </c>
      <c r="E62" s="7">
        <v>0.2</v>
      </c>
    </row>
  </sheetData>
  <mergeCells count="8">
    <mergeCell ref="B2:D2"/>
    <mergeCell ref="B3:D3"/>
    <mergeCell ref="B5:D5"/>
    <mergeCell ref="B18:D18"/>
    <mergeCell ref="B30:D30"/>
    <mergeCell ref="B39:D39"/>
    <mergeCell ref="B48:D48"/>
    <mergeCell ref="B55:E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B2:H33"/>
  <sheetViews>
    <sheetView showGridLines="0" workbookViewId="0"/>
  </sheetViews>
  <sheetFormatPr defaultRowHeight="15"/>
  <cols>
    <col min="1" max="1" width="3.7109375" customWidth="1"/>
    <col min="2" max="2" width="32.7109375" customWidth="1"/>
    <col min="3" max="8" width="18.7109375" customWidth="1"/>
  </cols>
  <sheetData>
    <row r="2" spans="2:8">
      <c r="B2" s="1" t="s">
        <v>88</v>
      </c>
      <c r="C2" s="1"/>
      <c r="D2" s="1"/>
      <c r="E2" s="1"/>
      <c r="F2" s="1"/>
      <c r="G2" s="1"/>
      <c r="H2" s="1"/>
    </row>
    <row r="4" spans="2:8" ht="30" customHeight="1">
      <c r="B4" s="10" t="s">
        <v>89</v>
      </c>
      <c r="C4" s="10" t="s">
        <v>90</v>
      </c>
      <c r="D4" s="10" t="s">
        <v>91</v>
      </c>
      <c r="E4" s="10" t="s">
        <v>92</v>
      </c>
      <c r="F4" s="10" t="s">
        <v>93</v>
      </c>
      <c r="G4" s="10" t="s">
        <v>94</v>
      </c>
      <c r="H4" s="10" t="s">
        <v>95</v>
      </c>
    </row>
    <row r="5" spans="2:8">
      <c r="B5" s="4" t="s">
        <v>96</v>
      </c>
      <c r="C5" s="12" t="s">
        <v>97</v>
      </c>
      <c r="D5" s="13">
        <v>0.32</v>
      </c>
      <c r="E5" s="14">
        <v>300</v>
      </c>
      <c r="F5" s="12" t="s">
        <v>98</v>
      </c>
      <c r="G5" s="12" t="s">
        <v>86</v>
      </c>
      <c r="H5" s="12" t="s">
        <v>99</v>
      </c>
    </row>
    <row r="6" spans="2:8">
      <c r="B6" s="4" t="s">
        <v>100</v>
      </c>
      <c r="C6" s="12" t="s">
        <v>101</v>
      </c>
      <c r="D6" s="13">
        <v>0.38</v>
      </c>
      <c r="E6" s="14">
        <v>178</v>
      </c>
      <c r="F6" s="12" t="s">
        <v>98</v>
      </c>
      <c r="G6" s="12" t="s">
        <v>86</v>
      </c>
      <c r="H6" s="12" t="s">
        <v>102</v>
      </c>
    </row>
    <row r="7" spans="2:8">
      <c r="B7" s="4" t="s">
        <v>103</v>
      </c>
      <c r="C7" s="12" t="s">
        <v>101</v>
      </c>
      <c r="D7" s="13">
        <v>0.08</v>
      </c>
      <c r="E7" s="14">
        <v>350</v>
      </c>
      <c r="F7" s="12" t="s">
        <v>104</v>
      </c>
      <c r="G7" s="12" t="s">
        <v>105</v>
      </c>
      <c r="H7" s="12" t="s">
        <v>102</v>
      </c>
    </row>
    <row r="8" spans="2:8">
      <c r="B8" s="4" t="s">
        <v>106</v>
      </c>
      <c r="C8" s="12" t="s">
        <v>97</v>
      </c>
      <c r="D8" s="13">
        <v>0.07000000000000001</v>
      </c>
      <c r="E8" s="14">
        <v>280</v>
      </c>
      <c r="F8" s="12" t="s">
        <v>98</v>
      </c>
      <c r="G8" s="12" t="s">
        <v>86</v>
      </c>
      <c r="H8" s="12" t="s">
        <v>102</v>
      </c>
    </row>
    <row r="9" spans="2:8">
      <c r="B9" s="4" t="s">
        <v>107</v>
      </c>
      <c r="C9" s="12" t="s">
        <v>97</v>
      </c>
      <c r="D9" s="13">
        <v>0.06</v>
      </c>
      <c r="E9" s="14">
        <v>195</v>
      </c>
      <c r="F9" s="12" t="s">
        <v>98</v>
      </c>
      <c r="G9" s="12" t="s">
        <v>86</v>
      </c>
      <c r="H9" s="12" t="s">
        <v>99</v>
      </c>
    </row>
    <row r="10" spans="2:8">
      <c r="B10" s="4" t="s">
        <v>108</v>
      </c>
      <c r="C10" s="12" t="s">
        <v>97</v>
      </c>
      <c r="D10" s="13">
        <v>0.04</v>
      </c>
      <c r="E10" s="14">
        <v>277</v>
      </c>
      <c r="F10" s="12" t="s">
        <v>109</v>
      </c>
      <c r="G10" s="12" t="s">
        <v>41</v>
      </c>
      <c r="H10" s="12" t="s">
        <v>99</v>
      </c>
    </row>
    <row r="11" spans="2:8">
      <c r="B11" s="4" t="s">
        <v>110</v>
      </c>
      <c r="C11" s="12" t="s">
        <v>111</v>
      </c>
      <c r="D11" s="13">
        <v>0.05</v>
      </c>
      <c r="E11" s="14">
        <v>150</v>
      </c>
      <c r="F11" s="12" t="s">
        <v>98</v>
      </c>
      <c r="G11" s="12" t="s">
        <v>86</v>
      </c>
      <c r="H11" s="12" t="s">
        <v>102</v>
      </c>
    </row>
    <row r="14" spans="2:8">
      <c r="B14" s="3" t="s">
        <v>112</v>
      </c>
      <c r="C14" s="3"/>
      <c r="D14" s="3"/>
      <c r="E14" s="3"/>
      <c r="F14" s="3"/>
      <c r="G14" s="3"/>
      <c r="H14" s="3"/>
    </row>
    <row r="15" spans="2:8">
      <c r="B15" s="10" t="s">
        <v>113</v>
      </c>
      <c r="C15" s="10" t="s">
        <v>103</v>
      </c>
      <c r="D15" s="10" t="s">
        <v>114</v>
      </c>
      <c r="E15" s="10" t="s">
        <v>115</v>
      </c>
    </row>
    <row r="16" spans="2:8">
      <c r="B16" s="4" t="s">
        <v>116</v>
      </c>
      <c r="C16" s="12" t="s">
        <v>117</v>
      </c>
      <c r="D16" s="12" t="s">
        <v>118</v>
      </c>
      <c r="E16" s="15" t="s">
        <v>119</v>
      </c>
    </row>
    <row r="17" spans="2:6">
      <c r="B17" s="4" t="s">
        <v>120</v>
      </c>
      <c r="C17" s="12" t="s">
        <v>121</v>
      </c>
      <c r="D17" s="12" t="s">
        <v>122</v>
      </c>
      <c r="E17" s="15" t="s">
        <v>119</v>
      </c>
    </row>
    <row r="18" spans="2:6">
      <c r="B18" s="4" t="s">
        <v>123</v>
      </c>
      <c r="C18" s="12" t="s">
        <v>124</v>
      </c>
      <c r="D18" s="12" t="s">
        <v>125</v>
      </c>
      <c r="E18" s="15" t="s">
        <v>119</v>
      </c>
    </row>
    <row r="19" spans="2:6">
      <c r="B19" s="4" t="s">
        <v>126</v>
      </c>
      <c r="C19" s="12" t="s">
        <v>127</v>
      </c>
      <c r="D19" s="12" t="s">
        <v>128</v>
      </c>
      <c r="E19" s="16" t="s">
        <v>129</v>
      </c>
    </row>
    <row r="20" spans="2:6">
      <c r="B20" s="4" t="s">
        <v>130</v>
      </c>
      <c r="C20" s="12" t="s">
        <v>131</v>
      </c>
      <c r="D20" s="12" t="s">
        <v>132</v>
      </c>
      <c r="E20" s="15" t="s">
        <v>119</v>
      </c>
    </row>
    <row r="21" spans="2:6">
      <c r="B21" s="4" t="s">
        <v>133</v>
      </c>
      <c r="C21" s="12" t="s">
        <v>134</v>
      </c>
      <c r="D21" s="12" t="s">
        <v>135</v>
      </c>
      <c r="E21" s="15" t="s">
        <v>119</v>
      </c>
    </row>
    <row r="22" spans="2:6">
      <c r="B22" s="4" t="s">
        <v>136</v>
      </c>
      <c r="C22" s="12" t="s">
        <v>137</v>
      </c>
      <c r="D22" s="12" t="s">
        <v>138</v>
      </c>
      <c r="E22" s="16" t="s">
        <v>129</v>
      </c>
    </row>
    <row r="23" spans="2:6">
      <c r="B23" s="4" t="s">
        <v>139</v>
      </c>
      <c r="C23" s="12" t="s">
        <v>140</v>
      </c>
      <c r="D23" s="12" t="s">
        <v>141</v>
      </c>
      <c r="E23" s="17" t="s">
        <v>142</v>
      </c>
    </row>
    <row r="26" spans="2:6">
      <c r="B26" s="3" t="s">
        <v>143</v>
      </c>
      <c r="C26" s="3"/>
      <c r="D26" s="3"/>
      <c r="E26" s="3"/>
      <c r="F26" s="3"/>
    </row>
    <row r="27" spans="2:6">
      <c r="B27" s="10" t="s">
        <v>144</v>
      </c>
      <c r="C27" s="10" t="s">
        <v>145</v>
      </c>
      <c r="D27" s="10" t="s">
        <v>146</v>
      </c>
      <c r="E27" s="10" t="s">
        <v>147</v>
      </c>
    </row>
    <row r="28" spans="2:6">
      <c r="B28" s="4" t="s">
        <v>148</v>
      </c>
      <c r="C28" s="12" t="s">
        <v>149</v>
      </c>
      <c r="D28" s="12" t="s">
        <v>150</v>
      </c>
      <c r="E28" s="15" t="s">
        <v>151</v>
      </c>
    </row>
    <row r="29" spans="2:6">
      <c r="B29" s="4" t="s">
        <v>84</v>
      </c>
      <c r="C29" s="12" t="s">
        <v>152</v>
      </c>
      <c r="D29" s="12" t="s">
        <v>153</v>
      </c>
      <c r="E29" s="17" t="s">
        <v>154</v>
      </c>
    </row>
    <row r="30" spans="2:6">
      <c r="B30" s="4" t="s">
        <v>155</v>
      </c>
      <c r="C30" s="12" t="s">
        <v>156</v>
      </c>
      <c r="D30" s="12" t="s">
        <v>157</v>
      </c>
      <c r="E30" s="15" t="s">
        <v>151</v>
      </c>
    </row>
    <row r="31" spans="2:6">
      <c r="B31" s="4" t="s">
        <v>158</v>
      </c>
      <c r="C31" s="12" t="s">
        <v>159</v>
      </c>
      <c r="D31" s="12" t="s">
        <v>160</v>
      </c>
      <c r="E31" s="17" t="s">
        <v>154</v>
      </c>
    </row>
    <row r="32" spans="2:6">
      <c r="B32" s="4" t="s">
        <v>161</v>
      </c>
      <c r="C32" s="12" t="s">
        <v>162</v>
      </c>
      <c r="D32" s="12" t="s">
        <v>157</v>
      </c>
      <c r="E32" s="15" t="s">
        <v>151</v>
      </c>
    </row>
    <row r="33" spans="2:5">
      <c r="B33" s="4" t="s">
        <v>163</v>
      </c>
      <c r="C33" s="12" t="s">
        <v>164</v>
      </c>
      <c r="D33" s="12" t="s">
        <v>165</v>
      </c>
      <c r="E33" s="15" t="s">
        <v>151</v>
      </c>
    </row>
  </sheetData>
  <mergeCells count="3">
    <mergeCell ref="B2:H2"/>
    <mergeCell ref="B14:H14"/>
    <mergeCell ref="B26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59E0B"/>
  </sheetPr>
  <dimension ref="B2:S68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20" width="15.7109375" customWidth="1"/>
  </cols>
  <sheetData>
    <row r="2" spans="2:19">
      <c r="B2" s="1" t="s">
        <v>166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2:19">
      <c r="B4" s="18" t="s">
        <v>167</v>
      </c>
      <c r="C4" s="18"/>
      <c r="D4" s="18" t="s">
        <v>168</v>
      </c>
      <c r="E4" s="18"/>
      <c r="F4" s="18" t="s">
        <v>169</v>
      </c>
      <c r="G4" s="18"/>
      <c r="H4" s="18" t="s">
        <v>170</v>
      </c>
      <c r="I4" s="18"/>
      <c r="J4" s="18" t="s">
        <v>172</v>
      </c>
      <c r="K4" s="18"/>
    </row>
    <row r="5" spans="2:19">
      <c r="B5" s="19">
        <v>412112810.41</v>
      </c>
      <c r="C5" s="19"/>
      <c r="D5" s="19">
        <v>4319672663.48</v>
      </c>
      <c r="E5" s="19"/>
      <c r="F5" s="20">
        <v>322655</v>
      </c>
      <c r="G5" s="20"/>
      <c r="H5" s="20" t="s">
        <v>171</v>
      </c>
      <c r="I5" s="20"/>
      <c r="J5" s="21">
        <v>3395738130.78</v>
      </c>
      <c r="K5" s="21"/>
    </row>
    <row r="8" spans="2:19" ht="35" customHeight="1">
      <c r="B8" s="22" t="s">
        <v>173</v>
      </c>
      <c r="C8" s="22" t="s">
        <v>174</v>
      </c>
      <c r="D8" s="22" t="s">
        <v>175</v>
      </c>
      <c r="E8" s="22" t="s">
        <v>176</v>
      </c>
      <c r="F8" s="22" t="s">
        <v>177</v>
      </c>
      <c r="G8" s="22" t="s">
        <v>178</v>
      </c>
      <c r="H8" s="22" t="s">
        <v>179</v>
      </c>
      <c r="I8" s="22" t="s">
        <v>180</v>
      </c>
      <c r="J8" s="22" t="s">
        <v>181</v>
      </c>
      <c r="K8" s="22" t="s">
        <v>182</v>
      </c>
      <c r="L8" s="22" t="s">
        <v>183</v>
      </c>
      <c r="M8" s="22" t="s">
        <v>184</v>
      </c>
      <c r="N8" s="22" t="s">
        <v>185</v>
      </c>
      <c r="O8" s="22" t="s">
        <v>186</v>
      </c>
      <c r="P8" s="22" t="s">
        <v>187</v>
      </c>
      <c r="Q8" s="22" t="s">
        <v>188</v>
      </c>
      <c r="R8" s="22" t="s">
        <v>189</v>
      </c>
      <c r="S8" s="22" t="s">
        <v>190</v>
      </c>
    </row>
    <row r="9" spans="2:19">
      <c r="B9" t="s">
        <v>191</v>
      </c>
      <c r="C9" s="23">
        <v>0</v>
      </c>
      <c r="D9" s="23">
        <v>81907</v>
      </c>
      <c r="E9" s="23">
        <v>80196</v>
      </c>
      <c r="F9" s="23">
        <v>1711</v>
      </c>
      <c r="G9" s="23">
        <v>0</v>
      </c>
      <c r="H9" s="23">
        <v>0</v>
      </c>
      <c r="I9" s="24">
        <v>28581913.38</v>
      </c>
      <c r="J9" s="24">
        <v>28068464.53</v>
      </c>
      <c r="K9" s="24">
        <v>513448.85</v>
      </c>
      <c r="L9" s="13">
        <v>0.097</v>
      </c>
      <c r="M9" s="13">
        <v>0.3358</v>
      </c>
      <c r="N9" s="23">
        <v>284401</v>
      </c>
      <c r="O9" s="24">
        <v>85270128.39</v>
      </c>
      <c r="P9" s="24">
        <v>21865530.7</v>
      </c>
      <c r="Q9" s="24">
        <v>28581913.38</v>
      </c>
      <c r="R9" s="24">
        <v>21865530.7</v>
      </c>
      <c r="S9" s="23">
        <v>0</v>
      </c>
    </row>
    <row r="10" spans="2:19">
      <c r="B10" s="25" t="s">
        <v>192</v>
      </c>
      <c r="C10" s="26">
        <v>1</v>
      </c>
      <c r="D10" s="26">
        <v>84308</v>
      </c>
      <c r="E10" s="26">
        <v>82393</v>
      </c>
      <c r="F10" s="26">
        <v>1915</v>
      </c>
      <c r="G10" s="26">
        <v>0</v>
      </c>
      <c r="H10" s="26">
        <v>0</v>
      </c>
      <c r="I10" s="27">
        <v>29337564.22</v>
      </c>
      <c r="J10" s="27">
        <v>28764397.26</v>
      </c>
      <c r="K10" s="27">
        <v>573166.96</v>
      </c>
      <c r="L10" s="28">
        <v>0.09909999999999999</v>
      </c>
      <c r="M10" s="28">
        <v>0.3351</v>
      </c>
      <c r="N10" s="26">
        <v>285774</v>
      </c>
      <c r="O10" s="27">
        <v>85462731.43000001</v>
      </c>
      <c r="P10" s="27">
        <v>22470051.38</v>
      </c>
      <c r="Q10" s="27">
        <v>57919477.6</v>
      </c>
      <c r="R10" s="27">
        <v>44335582.08</v>
      </c>
      <c r="S10" s="26">
        <v>0</v>
      </c>
    </row>
    <row r="11" spans="2:19">
      <c r="B11" t="s">
        <v>193</v>
      </c>
      <c r="C11" s="23">
        <v>2</v>
      </c>
      <c r="D11" s="23">
        <v>86945</v>
      </c>
      <c r="E11" s="23">
        <v>84802</v>
      </c>
      <c r="F11" s="23">
        <v>2143</v>
      </c>
      <c r="G11" s="23">
        <v>0</v>
      </c>
      <c r="H11" s="23">
        <v>0</v>
      </c>
      <c r="I11" s="24">
        <v>30170152.3</v>
      </c>
      <c r="J11" s="24">
        <v>29530552.56</v>
      </c>
      <c r="K11" s="24">
        <v>639599.74</v>
      </c>
      <c r="L11" s="13">
        <v>0.1015</v>
      </c>
      <c r="M11" s="13">
        <v>0.3343</v>
      </c>
      <c r="N11" s="23">
        <v>287257</v>
      </c>
      <c r="O11" s="24">
        <v>85686514.14</v>
      </c>
      <c r="P11" s="24">
        <v>23136121.84</v>
      </c>
      <c r="Q11" s="24">
        <v>88089629.90000001</v>
      </c>
      <c r="R11" s="24">
        <v>67471703.92</v>
      </c>
      <c r="S11" s="23">
        <v>0</v>
      </c>
    </row>
    <row r="12" spans="2:19">
      <c r="B12" s="25" t="s">
        <v>194</v>
      </c>
      <c r="C12" s="26">
        <v>3</v>
      </c>
      <c r="D12" s="26">
        <v>89835</v>
      </c>
      <c r="E12" s="26">
        <v>87439</v>
      </c>
      <c r="F12" s="26">
        <v>2396</v>
      </c>
      <c r="G12" s="26">
        <v>0</v>
      </c>
      <c r="H12" s="26">
        <v>0</v>
      </c>
      <c r="I12" s="27">
        <v>31084892.17</v>
      </c>
      <c r="J12" s="27">
        <v>30371500.42</v>
      </c>
      <c r="K12" s="27">
        <v>713391.75</v>
      </c>
      <c r="L12" s="28">
        <v>0.104</v>
      </c>
      <c r="M12" s="28">
        <v>0.3334</v>
      </c>
      <c r="N12" s="26">
        <v>288854</v>
      </c>
      <c r="O12" s="27">
        <v>85942260.42</v>
      </c>
      <c r="P12" s="27">
        <v>23867913.74</v>
      </c>
      <c r="Q12" s="27">
        <v>119174522.07</v>
      </c>
      <c r="R12" s="27">
        <v>91339617.66</v>
      </c>
      <c r="S12" s="26">
        <v>0</v>
      </c>
    </row>
    <row r="13" spans="2:19">
      <c r="B13" t="s">
        <v>195</v>
      </c>
      <c r="C13" s="23">
        <v>4</v>
      </c>
      <c r="D13" s="23">
        <v>92995</v>
      </c>
      <c r="E13" s="23">
        <v>90317</v>
      </c>
      <c r="F13" s="23">
        <v>2678</v>
      </c>
      <c r="G13" s="23">
        <v>0</v>
      </c>
      <c r="H13" s="23">
        <v>0</v>
      </c>
      <c r="I13" s="24">
        <v>32086861.79</v>
      </c>
      <c r="J13" s="24">
        <v>31291650.77</v>
      </c>
      <c r="K13" s="24">
        <v>795211.03</v>
      </c>
      <c r="L13" s="13">
        <v>0.1067</v>
      </c>
      <c r="M13" s="13">
        <v>0.3324</v>
      </c>
      <c r="N13" s="23">
        <v>290567</v>
      </c>
      <c r="O13" s="24">
        <v>86230456.42</v>
      </c>
      <c r="P13" s="24">
        <v>24669489.43</v>
      </c>
      <c r="Q13" s="24">
        <v>151261383.86</v>
      </c>
      <c r="R13" s="24">
        <v>116009107.09</v>
      </c>
      <c r="S13" s="23">
        <v>0</v>
      </c>
    </row>
    <row r="14" spans="2:19">
      <c r="B14" s="25" t="s">
        <v>196</v>
      </c>
      <c r="C14" s="26">
        <v>5</v>
      </c>
      <c r="D14" s="26">
        <v>96440</v>
      </c>
      <c r="E14" s="26">
        <v>93450</v>
      </c>
      <c r="F14" s="26">
        <v>2990</v>
      </c>
      <c r="G14" s="26">
        <v>0</v>
      </c>
      <c r="H14" s="26">
        <v>0</v>
      </c>
      <c r="I14" s="27">
        <v>33180867.28</v>
      </c>
      <c r="J14" s="27">
        <v>32295129.56</v>
      </c>
      <c r="K14" s="27">
        <v>885737.72</v>
      </c>
      <c r="L14" s="28">
        <v>0.1097</v>
      </c>
      <c r="M14" s="28">
        <v>0.3314</v>
      </c>
      <c r="N14" s="26">
        <v>292398</v>
      </c>
      <c r="O14" s="27">
        <v>86551233.18000001</v>
      </c>
      <c r="P14" s="27">
        <v>25544693.82</v>
      </c>
      <c r="Q14" s="27">
        <v>184442251.14</v>
      </c>
      <c r="R14" s="27">
        <v>141553800.91</v>
      </c>
      <c r="S14" s="26">
        <v>0</v>
      </c>
    </row>
    <row r="15" spans="2:19">
      <c r="B15" t="s">
        <v>197</v>
      </c>
      <c r="C15" s="23">
        <v>6</v>
      </c>
      <c r="D15" s="23">
        <v>100187</v>
      </c>
      <c r="E15" s="23">
        <v>96851</v>
      </c>
      <c r="F15" s="23">
        <v>3336</v>
      </c>
      <c r="G15" s="23">
        <v>0</v>
      </c>
      <c r="H15" s="23">
        <v>0</v>
      </c>
      <c r="I15" s="24">
        <v>34371284.34</v>
      </c>
      <c r="J15" s="24">
        <v>33385635.2</v>
      </c>
      <c r="K15" s="24">
        <v>985649.14</v>
      </c>
      <c r="L15" s="13">
        <v>0.1129</v>
      </c>
      <c r="M15" s="13">
        <v>0.3304</v>
      </c>
      <c r="N15" s="23">
        <v>294347</v>
      </c>
      <c r="O15" s="24">
        <v>86904310.73999999</v>
      </c>
      <c r="P15" s="24">
        <v>26497027.47</v>
      </c>
      <c r="Q15" s="24">
        <v>218813535.48</v>
      </c>
      <c r="R15" s="24">
        <v>168050828.38</v>
      </c>
      <c r="S15" s="23">
        <v>0</v>
      </c>
    </row>
    <row r="16" spans="2:19">
      <c r="B16" s="25" t="s">
        <v>198</v>
      </c>
      <c r="C16" s="26">
        <v>7</v>
      </c>
      <c r="D16" s="26">
        <v>104249</v>
      </c>
      <c r="E16" s="26">
        <v>100531</v>
      </c>
      <c r="F16" s="26">
        <v>3717</v>
      </c>
      <c r="G16" s="26">
        <v>0</v>
      </c>
      <c r="H16" s="26">
        <v>0</v>
      </c>
      <c r="I16" s="27">
        <v>35661877.74</v>
      </c>
      <c r="J16" s="27">
        <v>34566276.74</v>
      </c>
      <c r="K16" s="27">
        <v>1095601</v>
      </c>
      <c r="L16" s="28">
        <v>0.1163</v>
      </c>
      <c r="M16" s="28">
        <v>0.3292</v>
      </c>
      <c r="N16" s="26">
        <v>296412</v>
      </c>
      <c r="O16" s="27">
        <v>87288946.77</v>
      </c>
      <c r="P16" s="27">
        <v>27529502.19</v>
      </c>
      <c r="Q16" s="27">
        <v>254475413.22</v>
      </c>
      <c r="R16" s="27">
        <v>195580330.58</v>
      </c>
      <c r="S16" s="26">
        <v>0</v>
      </c>
    </row>
    <row r="17" spans="2:19">
      <c r="B17" t="s">
        <v>199</v>
      </c>
      <c r="C17" s="23">
        <v>8</v>
      </c>
      <c r="D17" s="23">
        <v>108636</v>
      </c>
      <c r="E17" s="23">
        <v>104499</v>
      </c>
      <c r="F17" s="23">
        <v>4137</v>
      </c>
      <c r="G17" s="23">
        <v>0</v>
      </c>
      <c r="H17" s="23">
        <v>0</v>
      </c>
      <c r="I17" s="24">
        <v>37055602.08</v>
      </c>
      <c r="J17" s="24">
        <v>35839397.36</v>
      </c>
      <c r="K17" s="24">
        <v>1216204.72</v>
      </c>
      <c r="L17" s="13">
        <v>0.1199</v>
      </c>
      <c r="M17" s="13">
        <v>0.328</v>
      </c>
      <c r="N17" s="23">
        <v>298589</v>
      </c>
      <c r="O17" s="24">
        <v>87703893.11</v>
      </c>
      <c r="P17" s="24">
        <v>28644481.66</v>
      </c>
      <c r="Q17" s="24">
        <v>291531015.3</v>
      </c>
      <c r="R17" s="24">
        <v>224224812.24</v>
      </c>
      <c r="S17" s="23">
        <v>0</v>
      </c>
    </row>
    <row r="18" spans="2:19">
      <c r="B18" s="25" t="s">
        <v>200</v>
      </c>
      <c r="C18" s="26">
        <v>9</v>
      </c>
      <c r="D18" s="26">
        <v>113358</v>
      </c>
      <c r="E18" s="26">
        <v>108760</v>
      </c>
      <c r="F18" s="26">
        <v>4597</v>
      </c>
      <c r="G18" s="26">
        <v>0</v>
      </c>
      <c r="H18" s="26">
        <v>0</v>
      </c>
      <c r="I18" s="27">
        <v>38554389.52</v>
      </c>
      <c r="J18" s="27">
        <v>37206388.36</v>
      </c>
      <c r="K18" s="27">
        <v>1348001.16</v>
      </c>
      <c r="L18" s="28">
        <v>0.1237</v>
      </c>
      <c r="M18" s="28">
        <v>0.3269</v>
      </c>
      <c r="N18" s="26">
        <v>300875</v>
      </c>
      <c r="O18" s="27">
        <v>88147363.98999999</v>
      </c>
      <c r="P18" s="27">
        <v>29843511.62</v>
      </c>
      <c r="Q18" s="27">
        <v>330085404.82</v>
      </c>
      <c r="R18" s="27">
        <v>254068323.86</v>
      </c>
      <c r="S18" s="26">
        <v>0</v>
      </c>
    </row>
    <row r="19" spans="2:19">
      <c r="B19" t="s">
        <v>201</v>
      </c>
      <c r="C19" s="23">
        <v>10</v>
      </c>
      <c r="D19" s="23">
        <v>118418</v>
      </c>
      <c r="E19" s="23">
        <v>113319</v>
      </c>
      <c r="F19" s="23">
        <v>5099</v>
      </c>
      <c r="G19" s="23">
        <v>0</v>
      </c>
      <c r="H19" s="23">
        <v>0</v>
      </c>
      <c r="I19" s="24">
        <v>40158932.61</v>
      </c>
      <c r="J19" s="24">
        <v>38667501.18</v>
      </c>
      <c r="K19" s="24">
        <v>1491431.43</v>
      </c>
      <c r="L19" s="13">
        <v>0.1278</v>
      </c>
      <c r="M19" s="13">
        <v>0.3255</v>
      </c>
      <c r="N19" s="23">
        <v>303260</v>
      </c>
      <c r="O19" s="24">
        <v>88617019.65000001</v>
      </c>
      <c r="P19" s="24">
        <v>31127146.09</v>
      </c>
      <c r="Q19" s="24">
        <v>370244337.43</v>
      </c>
      <c r="R19" s="24">
        <v>285195469.94</v>
      </c>
      <c r="S19" s="23">
        <v>0</v>
      </c>
    </row>
    <row r="20" spans="2:19">
      <c r="B20" s="25" t="s">
        <v>202</v>
      </c>
      <c r="C20" s="26">
        <v>11</v>
      </c>
      <c r="D20" s="26">
        <v>123818</v>
      </c>
      <c r="E20" s="26">
        <v>118173</v>
      </c>
      <c r="F20" s="26">
        <v>5645</v>
      </c>
      <c r="G20" s="26">
        <v>0</v>
      </c>
      <c r="H20" s="26">
        <v>0</v>
      </c>
      <c r="I20" s="27">
        <v>41868472.98</v>
      </c>
      <c r="J20" s="27">
        <v>40221667.17</v>
      </c>
      <c r="K20" s="27">
        <v>1646805.81</v>
      </c>
      <c r="L20" s="28">
        <v>0.132</v>
      </c>
      <c r="M20" s="28">
        <v>0.3242</v>
      </c>
      <c r="N20" s="26">
        <v>305737</v>
      </c>
      <c r="O20" s="27">
        <v>89109968.43000001</v>
      </c>
      <c r="P20" s="27">
        <v>32494778.38</v>
      </c>
      <c r="Q20" s="27">
        <v>412112810.41</v>
      </c>
      <c r="R20" s="27">
        <v>317690248.33</v>
      </c>
      <c r="S20" s="26">
        <v>0</v>
      </c>
    </row>
    <row r="21" spans="2:19">
      <c r="B21" t="s">
        <v>203</v>
      </c>
      <c r="C21" s="23">
        <v>12</v>
      </c>
      <c r="D21" s="23">
        <v>129552</v>
      </c>
      <c r="E21" s="23">
        <v>123318</v>
      </c>
      <c r="F21" s="23">
        <v>6235</v>
      </c>
      <c r="G21" s="23">
        <v>0</v>
      </c>
      <c r="H21" s="23">
        <v>0</v>
      </c>
      <c r="I21" s="24">
        <v>43680609.19</v>
      </c>
      <c r="J21" s="24">
        <v>41866336.79</v>
      </c>
      <c r="K21" s="24">
        <v>1814272.4</v>
      </c>
      <c r="L21" s="13">
        <v>0.1365</v>
      </c>
      <c r="M21" s="13">
        <v>0.3227</v>
      </c>
      <c r="N21" s="23">
        <v>308293</v>
      </c>
      <c r="O21" s="24">
        <v>89622790.16</v>
      </c>
      <c r="P21" s="24">
        <v>33944487.35</v>
      </c>
      <c r="Q21" s="24">
        <v>455793419.6</v>
      </c>
      <c r="R21" s="24">
        <v>351634735.68</v>
      </c>
      <c r="S21" s="23">
        <v>0</v>
      </c>
    </row>
    <row r="22" spans="2:19">
      <c r="B22" s="25" t="s">
        <v>204</v>
      </c>
      <c r="C22" s="26">
        <v>13</v>
      </c>
      <c r="D22" s="26">
        <v>135612</v>
      </c>
      <c r="E22" s="26">
        <v>128743</v>
      </c>
      <c r="F22" s="26">
        <v>6869</v>
      </c>
      <c r="G22" s="26">
        <v>0</v>
      </c>
      <c r="H22" s="26">
        <v>0</v>
      </c>
      <c r="I22" s="27">
        <v>45591138.23</v>
      </c>
      <c r="J22" s="27">
        <v>43597350.86</v>
      </c>
      <c r="K22" s="27">
        <v>1993787.37</v>
      </c>
      <c r="L22" s="28">
        <v>0.1411</v>
      </c>
      <c r="M22" s="28">
        <v>0.3213</v>
      </c>
      <c r="N22" s="26">
        <v>310917</v>
      </c>
      <c r="O22" s="27">
        <v>90151582.09999999</v>
      </c>
      <c r="P22" s="27">
        <v>35472910.58</v>
      </c>
      <c r="Q22" s="27">
        <v>501384557.83</v>
      </c>
      <c r="R22" s="27">
        <v>387107646.26</v>
      </c>
      <c r="S22" s="26">
        <v>0</v>
      </c>
    </row>
    <row r="23" spans="2:19">
      <c r="B23" t="s">
        <v>205</v>
      </c>
      <c r="C23" s="23">
        <v>14</v>
      </c>
      <c r="D23" s="23">
        <v>141980</v>
      </c>
      <c r="E23" s="23">
        <v>134433</v>
      </c>
      <c r="F23" s="23">
        <v>7547</v>
      </c>
      <c r="G23" s="23">
        <v>0</v>
      </c>
      <c r="H23" s="23">
        <v>0</v>
      </c>
      <c r="I23" s="24">
        <v>47593946.32</v>
      </c>
      <c r="J23" s="24">
        <v>45408857.23</v>
      </c>
      <c r="K23" s="24">
        <v>2185089.08</v>
      </c>
      <c r="L23" s="13">
        <v>0.1458</v>
      </c>
      <c r="M23" s="13">
        <v>0.3199</v>
      </c>
      <c r="N23" s="23">
        <v>313594</v>
      </c>
      <c r="O23" s="24">
        <v>90692027.52</v>
      </c>
      <c r="P23" s="24">
        <v>37075157.06</v>
      </c>
      <c r="Q23" s="24">
        <v>548978504.15</v>
      </c>
      <c r="R23" s="24">
        <v>424182803.32</v>
      </c>
      <c r="S23" s="23">
        <v>0</v>
      </c>
    </row>
    <row r="24" spans="2:19">
      <c r="B24" s="25" t="s">
        <v>206</v>
      </c>
      <c r="C24" s="26">
        <v>15</v>
      </c>
      <c r="D24" s="26">
        <v>148635</v>
      </c>
      <c r="E24" s="26">
        <v>140368</v>
      </c>
      <c r="F24" s="26">
        <v>8268</v>
      </c>
      <c r="G24" s="26">
        <v>0</v>
      </c>
      <c r="H24" s="26">
        <v>0</v>
      </c>
      <c r="I24" s="27">
        <v>49680963.26</v>
      </c>
      <c r="J24" s="27">
        <v>47293284.81</v>
      </c>
      <c r="K24" s="27">
        <v>2387678.45</v>
      </c>
      <c r="L24" s="28">
        <v>0.1507</v>
      </c>
      <c r="M24" s="28">
        <v>0.3184</v>
      </c>
      <c r="N24" s="26">
        <v>316307</v>
      </c>
      <c r="O24" s="27">
        <v>91239485.15000001</v>
      </c>
      <c r="P24" s="27">
        <v>38744770.61</v>
      </c>
      <c r="Q24" s="27">
        <v>598659467.41</v>
      </c>
      <c r="R24" s="27">
        <v>462927573.93</v>
      </c>
      <c r="S24" s="26">
        <v>0</v>
      </c>
    </row>
    <row r="25" spans="2:19">
      <c r="B25" t="s">
        <v>207</v>
      </c>
      <c r="C25" s="23">
        <v>16</v>
      </c>
      <c r="D25" s="23">
        <v>155550</v>
      </c>
      <c r="E25" s="23">
        <v>146521</v>
      </c>
      <c r="F25" s="23">
        <v>9029</v>
      </c>
      <c r="G25" s="23">
        <v>0</v>
      </c>
      <c r="H25" s="23">
        <v>0</v>
      </c>
      <c r="I25" s="24">
        <v>51842192.7</v>
      </c>
      <c r="J25" s="24">
        <v>49241384.96</v>
      </c>
      <c r="K25" s="24">
        <v>2600807.73</v>
      </c>
      <c r="L25" s="13">
        <v>0.1556</v>
      </c>
      <c r="M25" s="13">
        <v>0.3168</v>
      </c>
      <c r="N25" s="23">
        <v>319041</v>
      </c>
      <c r="O25" s="24">
        <v>91789096.25</v>
      </c>
      <c r="P25" s="24">
        <v>40473754.16</v>
      </c>
      <c r="Q25" s="24">
        <v>650501660.11</v>
      </c>
      <c r="R25" s="24">
        <v>503401328.09</v>
      </c>
      <c r="S25" s="23">
        <v>0</v>
      </c>
    </row>
    <row r="26" spans="2:19">
      <c r="B26" s="25" t="s">
        <v>208</v>
      </c>
      <c r="C26" s="26">
        <v>17</v>
      </c>
      <c r="D26" s="26">
        <v>162689</v>
      </c>
      <c r="E26" s="26">
        <v>152863</v>
      </c>
      <c r="F26" s="26">
        <v>9827</v>
      </c>
      <c r="G26" s="26">
        <v>0</v>
      </c>
      <c r="H26" s="26">
        <v>0</v>
      </c>
      <c r="I26" s="27">
        <v>54065825.81</v>
      </c>
      <c r="J26" s="27">
        <v>51242346.11</v>
      </c>
      <c r="K26" s="27">
        <v>2823479.7</v>
      </c>
      <c r="L26" s="28">
        <v>0.1606</v>
      </c>
      <c r="M26" s="28">
        <v>0.3154</v>
      </c>
      <c r="N26" s="26">
        <v>321777</v>
      </c>
      <c r="O26" s="27">
        <v>92335904.29000001</v>
      </c>
      <c r="P26" s="27">
        <v>42252660.65</v>
      </c>
      <c r="Q26" s="27">
        <v>704567485.92</v>
      </c>
      <c r="R26" s="27">
        <v>545653988.74</v>
      </c>
      <c r="S26" s="26">
        <v>0</v>
      </c>
    </row>
    <row r="27" spans="2:19">
      <c r="B27" t="s">
        <v>209</v>
      </c>
      <c r="C27" s="23">
        <v>18</v>
      </c>
      <c r="D27" s="23">
        <v>170014</v>
      </c>
      <c r="E27" s="23">
        <v>159357</v>
      </c>
      <c r="F27" s="23">
        <v>10657</v>
      </c>
      <c r="G27" s="23">
        <v>0</v>
      </c>
      <c r="H27" s="23">
        <v>0</v>
      </c>
      <c r="I27" s="24">
        <v>56338440.98</v>
      </c>
      <c r="J27" s="24">
        <v>53283982.7</v>
      </c>
      <c r="K27" s="24">
        <v>3054458.28</v>
      </c>
      <c r="L27" s="13">
        <v>0.1657</v>
      </c>
      <c r="M27" s="13">
        <v>0.3138</v>
      </c>
      <c r="N27" s="23">
        <v>324499</v>
      </c>
      <c r="O27" s="24">
        <v>92874981.19</v>
      </c>
      <c r="P27" s="24">
        <v>44070752.78</v>
      </c>
      <c r="Q27" s="24">
        <v>760905926.9</v>
      </c>
      <c r="R27" s="24">
        <v>589724741.52</v>
      </c>
      <c r="S27" s="23">
        <v>0</v>
      </c>
    </row>
    <row r="28" spans="2:19">
      <c r="B28" s="25" t="s">
        <v>210</v>
      </c>
      <c r="C28" s="26">
        <v>19</v>
      </c>
      <c r="D28" s="26">
        <v>177482</v>
      </c>
      <c r="E28" s="26">
        <v>165966</v>
      </c>
      <c r="F28" s="26">
        <v>11517</v>
      </c>
      <c r="G28" s="26">
        <v>0</v>
      </c>
      <c r="H28" s="26">
        <v>0</v>
      </c>
      <c r="I28" s="27">
        <v>58645284.86</v>
      </c>
      <c r="J28" s="27">
        <v>55352993.69</v>
      </c>
      <c r="K28" s="27">
        <v>3292291.17</v>
      </c>
      <c r="L28" s="28">
        <v>0.1707</v>
      </c>
      <c r="M28" s="28">
        <v>0.3123</v>
      </c>
      <c r="N28" s="26">
        <v>327190</v>
      </c>
      <c r="O28" s="27">
        <v>93401553.23</v>
      </c>
      <c r="P28" s="27">
        <v>45916227.89</v>
      </c>
      <c r="Q28" s="27">
        <v>819551211.76</v>
      </c>
      <c r="R28" s="27">
        <v>635640969.41</v>
      </c>
      <c r="S28" s="26">
        <v>0</v>
      </c>
    </row>
    <row r="29" spans="2:19">
      <c r="B29" t="s">
        <v>211</v>
      </c>
      <c r="C29" s="23">
        <v>20</v>
      </c>
      <c r="D29" s="23">
        <v>185045</v>
      </c>
      <c r="E29" s="23">
        <v>172647</v>
      </c>
      <c r="F29" s="23">
        <v>12398</v>
      </c>
      <c r="G29" s="23">
        <v>0</v>
      </c>
      <c r="H29" s="23">
        <v>0</v>
      </c>
      <c r="I29" s="24">
        <v>60970623.9</v>
      </c>
      <c r="J29" s="24">
        <v>57435280.23</v>
      </c>
      <c r="K29" s="24">
        <v>3535343.67</v>
      </c>
      <c r="L29" s="13">
        <v>0.1758</v>
      </c>
      <c r="M29" s="13">
        <v>0.3109</v>
      </c>
      <c r="N29" s="23">
        <v>329833</v>
      </c>
      <c r="O29" s="24">
        <v>93911119.94</v>
      </c>
      <c r="P29" s="24">
        <v>47776499.12</v>
      </c>
      <c r="Q29" s="24">
        <v>880521835.66</v>
      </c>
      <c r="R29" s="24">
        <v>683417468.53</v>
      </c>
      <c r="S29" s="23">
        <v>0</v>
      </c>
    </row>
    <row r="30" spans="2:19">
      <c r="B30" s="25" t="s">
        <v>212</v>
      </c>
      <c r="C30" s="26">
        <v>21</v>
      </c>
      <c r="D30" s="26">
        <v>192653</v>
      </c>
      <c r="E30" s="26">
        <v>179357</v>
      </c>
      <c r="F30" s="26">
        <v>13296</v>
      </c>
      <c r="G30" s="26">
        <v>0</v>
      </c>
      <c r="H30" s="26">
        <v>0</v>
      </c>
      <c r="I30" s="27">
        <v>63298148.74</v>
      </c>
      <c r="J30" s="27">
        <v>59516306.56</v>
      </c>
      <c r="K30" s="27">
        <v>3781842.19</v>
      </c>
      <c r="L30" s="28">
        <v>0.1808</v>
      </c>
      <c r="M30" s="28">
        <v>0.3093</v>
      </c>
      <c r="N30" s="26">
        <v>332413</v>
      </c>
      <c r="O30" s="27">
        <v>94399559.44</v>
      </c>
      <c r="P30" s="27">
        <v>49638518.99</v>
      </c>
      <c r="Q30" s="27">
        <v>943819984.4</v>
      </c>
      <c r="R30" s="27">
        <v>733055987.52</v>
      </c>
      <c r="S30" s="26">
        <v>0</v>
      </c>
    </row>
    <row r="31" spans="2:19">
      <c r="B31" t="s">
        <v>213</v>
      </c>
      <c r="C31" s="23">
        <v>22</v>
      </c>
      <c r="D31" s="23">
        <v>200256</v>
      </c>
      <c r="E31" s="23">
        <v>186052</v>
      </c>
      <c r="F31" s="23">
        <v>14205</v>
      </c>
      <c r="G31" s="23">
        <v>0</v>
      </c>
      <c r="H31" s="23">
        <v>0</v>
      </c>
      <c r="I31" s="24">
        <v>65611409.67</v>
      </c>
      <c r="J31" s="24">
        <v>61581484.68</v>
      </c>
      <c r="K31" s="24">
        <v>4029924.99</v>
      </c>
      <c r="L31" s="13">
        <v>0.1857</v>
      </c>
      <c r="M31" s="13">
        <v>0.3079</v>
      </c>
      <c r="N31" s="23">
        <v>334917</v>
      </c>
      <c r="O31" s="24">
        <v>94863215.34999999</v>
      </c>
      <c r="P31" s="24">
        <v>51489127.74</v>
      </c>
      <c r="Q31" s="24">
        <v>1009431394.07</v>
      </c>
      <c r="R31" s="24">
        <v>784545115.26</v>
      </c>
      <c r="S31" s="23">
        <v>0</v>
      </c>
    </row>
    <row r="32" spans="2:19">
      <c r="B32" s="25" t="s">
        <v>214</v>
      </c>
      <c r="C32" s="26">
        <v>23</v>
      </c>
      <c r="D32" s="26">
        <v>207805</v>
      </c>
      <c r="E32" s="26">
        <v>192689</v>
      </c>
      <c r="F32" s="26">
        <v>15116</v>
      </c>
      <c r="G32" s="26">
        <v>0</v>
      </c>
      <c r="H32" s="26">
        <v>0</v>
      </c>
      <c r="I32" s="27">
        <v>67894258.02</v>
      </c>
      <c r="J32" s="27">
        <v>63616561.03</v>
      </c>
      <c r="K32" s="27">
        <v>4277696.99</v>
      </c>
      <c r="L32" s="28">
        <v>0.1905</v>
      </c>
      <c r="M32" s="28">
        <v>0.3066</v>
      </c>
      <c r="N32" s="26">
        <v>337333</v>
      </c>
      <c r="O32" s="27">
        <v>95298961.51000001</v>
      </c>
      <c r="P32" s="27">
        <v>53315406.42</v>
      </c>
      <c r="Q32" s="27">
        <v>1077325652.09</v>
      </c>
      <c r="R32" s="27">
        <v>837860521.67</v>
      </c>
      <c r="S32" s="26">
        <v>0</v>
      </c>
    </row>
    <row r="33" spans="2:19">
      <c r="B33" t="s">
        <v>215</v>
      </c>
      <c r="C33" s="23">
        <v>24</v>
      </c>
      <c r="D33" s="23">
        <v>215250</v>
      </c>
      <c r="E33" s="23">
        <v>199226</v>
      </c>
      <c r="F33" s="23">
        <v>16025</v>
      </c>
      <c r="G33" s="23">
        <v>0</v>
      </c>
      <c r="H33" s="23">
        <v>0</v>
      </c>
      <c r="I33" s="24">
        <v>70131268.58</v>
      </c>
      <c r="J33" s="24">
        <v>65607983.31</v>
      </c>
      <c r="K33" s="24">
        <v>4523285.27</v>
      </c>
      <c r="L33" s="13">
        <v>0.1951</v>
      </c>
      <c r="M33" s="13">
        <v>0.3053</v>
      </c>
      <c r="N33" s="23">
        <v>339651</v>
      </c>
      <c r="O33" s="24">
        <v>95704242.81</v>
      </c>
      <c r="P33" s="24">
        <v>55105014.86</v>
      </c>
      <c r="Q33" s="24">
        <v>1147456920.67</v>
      </c>
      <c r="R33" s="24">
        <v>892965536.54</v>
      </c>
      <c r="S33" s="23">
        <v>0</v>
      </c>
    </row>
    <row r="34" spans="2:19">
      <c r="B34" s="25" t="s">
        <v>216</v>
      </c>
      <c r="C34" s="26">
        <v>25</v>
      </c>
      <c r="D34" s="26">
        <v>222547</v>
      </c>
      <c r="E34" s="26">
        <v>205623</v>
      </c>
      <c r="F34" s="26">
        <v>16924</v>
      </c>
      <c r="G34" s="26">
        <v>0</v>
      </c>
      <c r="H34" s="26">
        <v>0</v>
      </c>
      <c r="I34" s="27">
        <v>72308120.05</v>
      </c>
      <c r="J34" s="27">
        <v>67543228.05</v>
      </c>
      <c r="K34" s="27">
        <v>4764892</v>
      </c>
      <c r="L34" s="28">
        <v>0.1997</v>
      </c>
      <c r="M34" s="28">
        <v>0.304</v>
      </c>
      <c r="N34" s="26">
        <v>341862</v>
      </c>
      <c r="O34" s="27">
        <v>96077092.09999999</v>
      </c>
      <c r="P34" s="27">
        <v>56846496.04</v>
      </c>
      <c r="Q34" s="27">
        <v>1219765040.72</v>
      </c>
      <c r="R34" s="27">
        <v>949812032.58</v>
      </c>
      <c r="S34" s="26">
        <v>0</v>
      </c>
    </row>
    <row r="35" spans="2:19">
      <c r="B35" t="s">
        <v>217</v>
      </c>
      <c r="C35" s="23">
        <v>26</v>
      </c>
      <c r="D35" s="23">
        <v>229654</v>
      </c>
      <c r="E35" s="23">
        <v>211847</v>
      </c>
      <c r="F35" s="23">
        <v>17807</v>
      </c>
      <c r="G35" s="23">
        <v>0</v>
      </c>
      <c r="H35" s="23">
        <v>0</v>
      </c>
      <c r="I35" s="24">
        <v>74411914.65000001</v>
      </c>
      <c r="J35" s="24">
        <v>69411072.92</v>
      </c>
      <c r="K35" s="24">
        <v>5000841.72</v>
      </c>
      <c r="L35" s="13">
        <v>0.204</v>
      </c>
      <c r="M35" s="13">
        <v>0.3028</v>
      </c>
      <c r="N35" s="23">
        <v>343962</v>
      </c>
      <c r="O35" s="24">
        <v>96416124.81999999</v>
      </c>
      <c r="P35" s="24">
        <v>58529531.72</v>
      </c>
      <c r="Q35" s="24">
        <v>1294176955.37</v>
      </c>
      <c r="R35" s="24">
        <v>1008341564.3</v>
      </c>
      <c r="S35" s="23">
        <v>0</v>
      </c>
    </row>
    <row r="36" spans="2:19">
      <c r="B36" s="25" t="s">
        <v>218</v>
      </c>
      <c r="C36" s="26">
        <v>27</v>
      </c>
      <c r="D36" s="26">
        <v>236533</v>
      </c>
      <c r="E36" s="26">
        <v>217865</v>
      </c>
      <c r="F36" s="26">
        <v>18669</v>
      </c>
      <c r="G36" s="26">
        <v>0</v>
      </c>
      <c r="H36" s="26">
        <v>0</v>
      </c>
      <c r="I36" s="27">
        <v>76431423.79000001</v>
      </c>
      <c r="J36" s="27">
        <v>71201803.09</v>
      </c>
      <c r="K36" s="27">
        <v>5229620.7</v>
      </c>
      <c r="L36" s="28">
        <v>0.2081</v>
      </c>
      <c r="M36" s="28">
        <v>0.3016</v>
      </c>
      <c r="N36" s="26">
        <v>345945</v>
      </c>
      <c r="O36" s="27">
        <v>96720514.09999999</v>
      </c>
      <c r="P36" s="27">
        <v>60145139.03</v>
      </c>
      <c r="Q36" s="27">
        <v>1370608379.16</v>
      </c>
      <c r="R36" s="27">
        <v>1068486703.33</v>
      </c>
      <c r="S36" s="26">
        <v>0</v>
      </c>
    </row>
    <row r="37" spans="2:19">
      <c r="B37" t="s">
        <v>219</v>
      </c>
      <c r="C37" s="23">
        <v>28</v>
      </c>
      <c r="D37" s="23">
        <v>243155</v>
      </c>
      <c r="E37" s="23">
        <v>223650</v>
      </c>
      <c r="F37" s="23">
        <v>19504</v>
      </c>
      <c r="G37" s="23">
        <v>0</v>
      </c>
      <c r="H37" s="23">
        <v>0</v>
      </c>
      <c r="I37" s="24">
        <v>78357253.03</v>
      </c>
      <c r="J37" s="24">
        <v>72907346.18000001</v>
      </c>
      <c r="K37" s="24">
        <v>5449906.85</v>
      </c>
      <c r="L37" s="13">
        <v>0.212</v>
      </c>
      <c r="M37" s="13">
        <v>0.3006</v>
      </c>
      <c r="N37" s="23">
        <v>347811</v>
      </c>
      <c r="O37" s="24">
        <v>96989950.23</v>
      </c>
      <c r="P37" s="24">
        <v>61685802.42</v>
      </c>
      <c r="Q37" s="24">
        <v>1448965632.19</v>
      </c>
      <c r="R37" s="24">
        <v>1130172505.75</v>
      </c>
      <c r="S37" s="23">
        <v>0</v>
      </c>
    </row>
    <row r="38" spans="2:19">
      <c r="B38" s="25" t="s">
        <v>220</v>
      </c>
      <c r="C38" s="26">
        <v>29</v>
      </c>
      <c r="D38" s="26">
        <v>249492</v>
      </c>
      <c r="E38" s="26">
        <v>229182</v>
      </c>
      <c r="F38" s="26">
        <v>20310</v>
      </c>
      <c r="G38" s="26">
        <v>0</v>
      </c>
      <c r="H38" s="26">
        <v>0</v>
      </c>
      <c r="I38" s="27">
        <v>80181925.54000001</v>
      </c>
      <c r="J38" s="27">
        <v>74521336.06</v>
      </c>
      <c r="K38" s="27">
        <v>5660589.49</v>
      </c>
      <c r="L38" s="28">
        <v>0.2157</v>
      </c>
      <c r="M38" s="28">
        <v>0.2995</v>
      </c>
      <c r="N38" s="26">
        <v>349557</v>
      </c>
      <c r="O38" s="27">
        <v>97224588.37</v>
      </c>
      <c r="P38" s="27">
        <v>63145540.43</v>
      </c>
      <c r="Q38" s="27">
        <v>1529147557.73</v>
      </c>
      <c r="R38" s="27">
        <v>1193318046.18</v>
      </c>
      <c r="S38" s="26">
        <v>0</v>
      </c>
    </row>
    <row r="39" spans="2:19">
      <c r="B39" t="s">
        <v>221</v>
      </c>
      <c r="C39" s="23">
        <v>30</v>
      </c>
      <c r="D39" s="23">
        <v>255526</v>
      </c>
      <c r="E39" s="23">
        <v>234444</v>
      </c>
      <c r="F39" s="23">
        <v>21082</v>
      </c>
      <c r="G39" s="23">
        <v>0</v>
      </c>
      <c r="H39" s="23">
        <v>0</v>
      </c>
      <c r="I39" s="24">
        <v>81899889.09999999</v>
      </c>
      <c r="J39" s="24">
        <v>76039110.09</v>
      </c>
      <c r="K39" s="24">
        <v>5860779.01</v>
      </c>
      <c r="L39" s="13">
        <v>0.2192</v>
      </c>
      <c r="M39" s="13">
        <v>0.2985</v>
      </c>
      <c r="N39" s="23">
        <v>351186</v>
      </c>
      <c r="O39" s="24">
        <v>97424988.81999999</v>
      </c>
      <c r="P39" s="24">
        <v>64519911.28</v>
      </c>
      <c r="Q39" s="24">
        <v>1611047446.83</v>
      </c>
      <c r="R39" s="24">
        <v>1257837957.46</v>
      </c>
      <c r="S39" s="23">
        <v>0</v>
      </c>
    </row>
    <row r="40" spans="2:19">
      <c r="B40" s="25" t="s">
        <v>222</v>
      </c>
      <c r="C40" s="26">
        <v>31</v>
      </c>
      <c r="D40" s="26">
        <v>261242</v>
      </c>
      <c r="E40" s="26">
        <v>239425</v>
      </c>
      <c r="F40" s="26">
        <v>21817</v>
      </c>
      <c r="G40" s="26">
        <v>0</v>
      </c>
      <c r="H40" s="26">
        <v>0</v>
      </c>
      <c r="I40" s="27">
        <v>83507455.7</v>
      </c>
      <c r="J40" s="27">
        <v>77457648.33</v>
      </c>
      <c r="K40" s="27">
        <v>6049807.37</v>
      </c>
      <c r="L40" s="28">
        <v>0.2226</v>
      </c>
      <c r="M40" s="28">
        <v>0.2977</v>
      </c>
      <c r="N40" s="26">
        <v>352700</v>
      </c>
      <c r="O40" s="27">
        <v>97592053.64</v>
      </c>
      <c r="P40" s="27">
        <v>65805964.56</v>
      </c>
      <c r="Q40" s="27">
        <v>1694554902.53</v>
      </c>
      <c r="R40" s="27">
        <v>1323643922.02</v>
      </c>
      <c r="S40" s="26">
        <v>0</v>
      </c>
    </row>
    <row r="41" spans="2:19">
      <c r="B41" t="s">
        <v>223</v>
      </c>
      <c r="C41" s="23">
        <v>32</v>
      </c>
      <c r="D41" s="23">
        <v>266631</v>
      </c>
      <c r="E41" s="23">
        <v>244117</v>
      </c>
      <c r="F41" s="23">
        <v>22514</v>
      </c>
      <c r="G41" s="23">
        <v>0</v>
      </c>
      <c r="H41" s="23">
        <v>0</v>
      </c>
      <c r="I41" s="24">
        <v>85002685.81999999</v>
      </c>
      <c r="J41" s="24">
        <v>78775465.31999999</v>
      </c>
      <c r="K41" s="24">
        <v>6227220.5</v>
      </c>
      <c r="L41" s="13">
        <v>0.2256</v>
      </c>
      <c r="M41" s="13">
        <v>0.2968</v>
      </c>
      <c r="N41" s="23">
        <v>354102</v>
      </c>
      <c r="O41" s="24">
        <v>97726962.89</v>
      </c>
      <c r="P41" s="24">
        <v>67002148.66</v>
      </c>
      <c r="Q41" s="24">
        <v>1779557588.35</v>
      </c>
      <c r="R41" s="24">
        <v>1390646070.68</v>
      </c>
      <c r="S41" s="23">
        <v>0</v>
      </c>
    </row>
    <row r="42" spans="2:19">
      <c r="B42" s="25" t="s">
        <v>224</v>
      </c>
      <c r="C42" s="26">
        <v>33</v>
      </c>
      <c r="D42" s="26">
        <v>271690</v>
      </c>
      <c r="E42" s="26">
        <v>248519</v>
      </c>
      <c r="F42" s="26">
        <v>23171</v>
      </c>
      <c r="G42" s="26">
        <v>0</v>
      </c>
      <c r="H42" s="26">
        <v>0</v>
      </c>
      <c r="I42" s="27">
        <v>86385230.84999999</v>
      </c>
      <c r="J42" s="27">
        <v>79992466.54000001</v>
      </c>
      <c r="K42" s="27">
        <v>6392764.31</v>
      </c>
      <c r="L42" s="28">
        <v>0.2285</v>
      </c>
      <c r="M42" s="28">
        <v>0.296</v>
      </c>
      <c r="N42" s="26">
        <v>355395</v>
      </c>
      <c r="O42" s="27">
        <v>97831113.13</v>
      </c>
      <c r="P42" s="27">
        <v>68108184.68000001</v>
      </c>
      <c r="Q42" s="27">
        <v>1865942819.2</v>
      </c>
      <c r="R42" s="27">
        <v>1458754255.36</v>
      </c>
      <c r="S42" s="26">
        <v>0</v>
      </c>
    </row>
    <row r="43" spans="2:19">
      <c r="B43" t="s">
        <v>225</v>
      </c>
      <c r="C43" s="23">
        <v>34</v>
      </c>
      <c r="D43" s="23">
        <v>276418</v>
      </c>
      <c r="E43" s="23">
        <v>252630</v>
      </c>
      <c r="F43" s="23">
        <v>23788</v>
      </c>
      <c r="G43" s="23">
        <v>0</v>
      </c>
      <c r="H43" s="23">
        <v>0</v>
      </c>
      <c r="I43" s="24">
        <v>87656147.18000001</v>
      </c>
      <c r="J43" s="24">
        <v>81109781.19</v>
      </c>
      <c r="K43" s="24">
        <v>6546365.98</v>
      </c>
      <c r="L43" s="13">
        <v>0.2311</v>
      </c>
      <c r="M43" s="13">
        <v>0.2953</v>
      </c>
      <c r="N43" s="23">
        <v>356586</v>
      </c>
      <c r="O43" s="24">
        <v>97906060.34</v>
      </c>
      <c r="P43" s="24">
        <v>69124917.73999999</v>
      </c>
      <c r="Q43" s="24">
        <v>1953598966.38</v>
      </c>
      <c r="R43" s="24">
        <v>1527879173.1</v>
      </c>
      <c r="S43" s="23">
        <v>0</v>
      </c>
    </row>
    <row r="44" spans="2:19">
      <c r="B44" s="25" t="s">
        <v>226</v>
      </c>
      <c r="C44" s="26">
        <v>35</v>
      </c>
      <c r="D44" s="26">
        <v>280822</v>
      </c>
      <c r="E44" s="26">
        <v>256457</v>
      </c>
      <c r="F44" s="26">
        <v>24365</v>
      </c>
      <c r="G44" s="26">
        <v>0</v>
      </c>
      <c r="H44" s="26">
        <v>0</v>
      </c>
      <c r="I44" s="27">
        <v>88817694.77</v>
      </c>
      <c r="J44" s="27">
        <v>82129582.65000001</v>
      </c>
      <c r="K44" s="27">
        <v>6688112.12</v>
      </c>
      <c r="L44" s="28">
        <v>0.2336</v>
      </c>
      <c r="M44" s="28">
        <v>0.2946</v>
      </c>
      <c r="N44" s="26">
        <v>357679</v>
      </c>
      <c r="O44" s="27">
        <v>97953468.39</v>
      </c>
      <c r="P44" s="27">
        <v>70054155.81999999</v>
      </c>
      <c r="Q44" s="27">
        <v>2042416661.15</v>
      </c>
      <c r="R44" s="27">
        <v>1597933328.92</v>
      </c>
      <c r="S44" s="26">
        <v>0</v>
      </c>
    </row>
    <row r="45" spans="2:19">
      <c r="B45" t="s">
        <v>227</v>
      </c>
      <c r="C45" s="23">
        <v>36</v>
      </c>
      <c r="D45" s="23">
        <v>284907</v>
      </c>
      <c r="E45" s="23">
        <v>260005</v>
      </c>
      <c r="F45" s="23">
        <v>24902</v>
      </c>
      <c r="G45" s="23">
        <v>0</v>
      </c>
      <c r="H45" s="23">
        <v>0</v>
      </c>
      <c r="I45" s="24">
        <v>89873131.27</v>
      </c>
      <c r="J45" s="24">
        <v>83054905.89</v>
      </c>
      <c r="K45" s="24">
        <v>6818225.38</v>
      </c>
      <c r="L45" s="13">
        <v>0.2358</v>
      </c>
      <c r="M45" s="13">
        <v>0.294</v>
      </c>
      <c r="N45" s="23">
        <v>358680</v>
      </c>
      <c r="O45" s="24">
        <v>97975063.89</v>
      </c>
      <c r="P45" s="24">
        <v>70898505.02</v>
      </c>
      <c r="Q45" s="24">
        <v>2132289792.42</v>
      </c>
      <c r="R45" s="24">
        <v>1668831833.94</v>
      </c>
      <c r="S45" s="23">
        <v>0</v>
      </c>
    </row>
    <row r="46" spans="2:19">
      <c r="B46" s="25" t="s">
        <v>228</v>
      </c>
      <c r="C46" s="26">
        <v>37</v>
      </c>
      <c r="D46" s="26">
        <v>288686</v>
      </c>
      <c r="E46" s="26">
        <v>263285</v>
      </c>
      <c r="F46" s="26">
        <v>25400</v>
      </c>
      <c r="G46" s="26">
        <v>0</v>
      </c>
      <c r="H46" s="26">
        <v>0</v>
      </c>
      <c r="I46" s="27">
        <v>90826510.69</v>
      </c>
      <c r="J46" s="27">
        <v>83889469.93000001</v>
      </c>
      <c r="K46" s="27">
        <v>6937040.75</v>
      </c>
      <c r="L46" s="28">
        <v>0.2378</v>
      </c>
      <c r="M46" s="28">
        <v>0.2935</v>
      </c>
      <c r="N46" s="26">
        <v>359594</v>
      </c>
      <c r="O46" s="27">
        <v>97972597.77</v>
      </c>
      <c r="P46" s="27">
        <v>71661208.55</v>
      </c>
      <c r="Q46" s="27">
        <v>2223116303.11</v>
      </c>
      <c r="R46" s="27">
        <v>1740493042.49</v>
      </c>
      <c r="S46" s="26">
        <v>0</v>
      </c>
    </row>
    <row r="47" spans="2:19">
      <c r="B47" t="s">
        <v>229</v>
      </c>
      <c r="C47" s="23">
        <v>38</v>
      </c>
      <c r="D47" s="23">
        <v>292169</v>
      </c>
      <c r="E47" s="23">
        <v>266308</v>
      </c>
      <c r="F47" s="23">
        <v>25861</v>
      </c>
      <c r="G47" s="23">
        <v>0</v>
      </c>
      <c r="H47" s="23">
        <v>0</v>
      </c>
      <c r="I47" s="24">
        <v>91682493.73</v>
      </c>
      <c r="J47" s="24">
        <v>84637511.09999999</v>
      </c>
      <c r="K47" s="24">
        <v>7044982.63</v>
      </c>
      <c r="L47" s="13">
        <v>0.2398</v>
      </c>
      <c r="M47" s="13">
        <v>0.293</v>
      </c>
      <c r="N47" s="23">
        <v>360427</v>
      </c>
      <c r="O47" s="24">
        <v>97947813.41</v>
      </c>
      <c r="P47" s="24">
        <v>72345994.98</v>
      </c>
      <c r="Q47" s="24">
        <v>2314798796.84</v>
      </c>
      <c r="R47" s="24">
        <v>1812839037.47</v>
      </c>
      <c r="S47" s="23">
        <v>0</v>
      </c>
    </row>
    <row r="48" spans="2:19">
      <c r="B48" s="25" t="s">
        <v>230</v>
      </c>
      <c r="C48" s="26">
        <v>39</v>
      </c>
      <c r="D48" s="26">
        <v>295372</v>
      </c>
      <c r="E48" s="26">
        <v>269086</v>
      </c>
      <c r="F48" s="26">
        <v>26286</v>
      </c>
      <c r="G48" s="26">
        <v>0</v>
      </c>
      <c r="H48" s="26">
        <v>0</v>
      </c>
      <c r="I48" s="27">
        <v>92446174.53</v>
      </c>
      <c r="J48" s="27">
        <v>85303631.23</v>
      </c>
      <c r="K48" s="27">
        <v>7142543.3</v>
      </c>
      <c r="L48" s="28">
        <v>0.2415</v>
      </c>
      <c r="M48" s="28">
        <v>0.2925</v>
      </c>
      <c r="N48" s="26">
        <v>361186</v>
      </c>
      <c r="O48" s="27">
        <v>97902420.93000001</v>
      </c>
      <c r="P48" s="27">
        <v>72956939.62</v>
      </c>
      <c r="Q48" s="27">
        <v>2407244971.37</v>
      </c>
      <c r="R48" s="27">
        <v>1885795977.1</v>
      </c>
      <c r="S48" s="26">
        <v>0</v>
      </c>
    </row>
    <row r="49" spans="2:19">
      <c r="B49" t="s">
        <v>231</v>
      </c>
      <c r="C49" s="23">
        <v>40</v>
      </c>
      <c r="D49" s="23">
        <v>298309</v>
      </c>
      <c r="E49" s="23">
        <v>271633</v>
      </c>
      <c r="F49" s="23">
        <v>26676</v>
      </c>
      <c r="G49" s="23">
        <v>0</v>
      </c>
      <c r="H49" s="23">
        <v>0</v>
      </c>
      <c r="I49" s="24">
        <v>93122926.81</v>
      </c>
      <c r="J49" s="24">
        <v>85892663.33</v>
      </c>
      <c r="K49" s="24">
        <v>7230263.47</v>
      </c>
      <c r="L49" s="13">
        <v>0.2431</v>
      </c>
      <c r="M49" s="13">
        <v>0.292</v>
      </c>
      <c r="N49" s="23">
        <v>361875</v>
      </c>
      <c r="O49" s="24">
        <v>97838077.20999999</v>
      </c>
      <c r="P49" s="24">
        <v>73498341.45</v>
      </c>
      <c r="Q49" s="24">
        <v>2500367898.18</v>
      </c>
      <c r="R49" s="24">
        <v>1959294318.54</v>
      </c>
      <c r="S49" s="23">
        <v>0</v>
      </c>
    </row>
    <row r="50" spans="2:19">
      <c r="B50" s="25" t="s">
        <v>232</v>
      </c>
      <c r="C50" s="26">
        <v>41</v>
      </c>
      <c r="D50" s="26">
        <v>300996</v>
      </c>
      <c r="E50" s="26">
        <v>273962</v>
      </c>
      <c r="F50" s="26">
        <v>27034</v>
      </c>
      <c r="G50" s="26">
        <v>0</v>
      </c>
      <c r="H50" s="26">
        <v>0</v>
      </c>
      <c r="I50" s="27">
        <v>93718270.81999999</v>
      </c>
      <c r="J50" s="27">
        <v>86409555.69</v>
      </c>
      <c r="K50" s="27">
        <v>7308715.13</v>
      </c>
      <c r="L50" s="28">
        <v>0.2446</v>
      </c>
      <c r="M50" s="28">
        <v>0.2916</v>
      </c>
      <c r="N50" s="26">
        <v>362500</v>
      </c>
      <c r="O50" s="27">
        <v>97756370.94</v>
      </c>
      <c r="P50" s="27">
        <v>73974616.66</v>
      </c>
      <c r="Q50" s="27">
        <v>2594086169</v>
      </c>
      <c r="R50" s="27">
        <v>2033268935.2</v>
      </c>
      <c r="S50" s="26">
        <v>0</v>
      </c>
    </row>
    <row r="51" spans="2:19">
      <c r="B51" t="s">
        <v>233</v>
      </c>
      <c r="C51" s="23">
        <v>42</v>
      </c>
      <c r="D51" s="23">
        <v>303450</v>
      </c>
      <c r="E51" s="23">
        <v>276088</v>
      </c>
      <c r="F51" s="23">
        <v>27362</v>
      </c>
      <c r="G51" s="23">
        <v>0</v>
      </c>
      <c r="H51" s="23">
        <v>0</v>
      </c>
      <c r="I51" s="24">
        <v>94237761.31999999</v>
      </c>
      <c r="J51" s="24">
        <v>86859274.59</v>
      </c>
      <c r="K51" s="24">
        <v>7378486.72</v>
      </c>
      <c r="L51" s="13">
        <v>0.2459</v>
      </c>
      <c r="M51" s="13">
        <v>0.2913</v>
      </c>
      <c r="N51" s="23">
        <v>363066</v>
      </c>
      <c r="O51" s="24">
        <v>97658811.93000001</v>
      </c>
      <c r="P51" s="24">
        <v>74390209.06</v>
      </c>
      <c r="Q51" s="24">
        <v>2688323930.32</v>
      </c>
      <c r="R51" s="24">
        <v>2107659144.26</v>
      </c>
      <c r="S51" s="23">
        <v>0</v>
      </c>
    </row>
    <row r="52" spans="2:19">
      <c r="B52" s="25" t="s">
        <v>234</v>
      </c>
      <c r="C52" s="26">
        <v>43</v>
      </c>
      <c r="D52" s="26">
        <v>305685</v>
      </c>
      <c r="E52" s="26">
        <v>278024</v>
      </c>
      <c r="F52" s="26">
        <v>27661</v>
      </c>
      <c r="G52" s="26">
        <v>0</v>
      </c>
      <c r="H52" s="26">
        <v>0</v>
      </c>
      <c r="I52" s="27">
        <v>94686895.58</v>
      </c>
      <c r="J52" s="27">
        <v>87246724.73999999</v>
      </c>
      <c r="K52" s="27">
        <v>7440170.84</v>
      </c>
      <c r="L52" s="28">
        <v>0.247</v>
      </c>
      <c r="M52" s="28">
        <v>0.291</v>
      </c>
      <c r="N52" s="26">
        <v>363578</v>
      </c>
      <c r="O52" s="27">
        <v>97546824.22</v>
      </c>
      <c r="P52" s="27">
        <v>74749516.45999999</v>
      </c>
      <c r="Q52" s="27">
        <v>2783010825.9</v>
      </c>
      <c r="R52" s="27">
        <v>2182408660.72</v>
      </c>
      <c r="S52" s="26">
        <v>0</v>
      </c>
    </row>
    <row r="53" spans="2:19">
      <c r="B53" t="s">
        <v>235</v>
      </c>
      <c r="C53" s="23">
        <v>44</v>
      </c>
      <c r="D53" s="23">
        <v>307718</v>
      </c>
      <c r="E53" s="23">
        <v>279785</v>
      </c>
      <c r="F53" s="23">
        <v>27933</v>
      </c>
      <c r="G53" s="23">
        <v>0</v>
      </c>
      <c r="H53" s="23">
        <v>0</v>
      </c>
      <c r="I53" s="24">
        <v>95071040.22</v>
      </c>
      <c r="J53" s="24">
        <v>87576686.11</v>
      </c>
      <c r="K53" s="24">
        <v>7494354.11</v>
      </c>
      <c r="L53" s="13">
        <v>0.2481</v>
      </c>
      <c r="M53" s="13">
        <v>0.2907</v>
      </c>
      <c r="N53" s="23">
        <v>364041</v>
      </c>
      <c r="O53" s="24">
        <v>97421742.15000001</v>
      </c>
      <c r="P53" s="24">
        <v>75056832.18000001</v>
      </c>
      <c r="Q53" s="24">
        <v>2878081866.12</v>
      </c>
      <c r="R53" s="24">
        <v>2257465492.9</v>
      </c>
      <c r="S53" s="23">
        <v>0</v>
      </c>
    </row>
    <row r="54" spans="2:19">
      <c r="B54" s="25" t="s">
        <v>236</v>
      </c>
      <c r="C54" s="26">
        <v>45</v>
      </c>
      <c r="D54" s="26">
        <v>309564</v>
      </c>
      <c r="E54" s="26">
        <v>281383</v>
      </c>
      <c r="F54" s="26">
        <v>28181</v>
      </c>
      <c r="G54" s="26">
        <v>0</v>
      </c>
      <c r="H54" s="26">
        <v>0</v>
      </c>
      <c r="I54" s="27">
        <v>95395374.81</v>
      </c>
      <c r="J54" s="27">
        <v>87853765.62</v>
      </c>
      <c r="K54" s="27">
        <v>7541609.19</v>
      </c>
      <c r="L54" s="28">
        <v>0.2491</v>
      </c>
      <c r="M54" s="28">
        <v>0.2904</v>
      </c>
      <c r="N54" s="26">
        <v>364459</v>
      </c>
      <c r="O54" s="27">
        <v>97284808.93000001</v>
      </c>
      <c r="P54" s="27">
        <v>75316299.84999999</v>
      </c>
      <c r="Q54" s="27">
        <v>2973477240.93</v>
      </c>
      <c r="R54" s="27">
        <v>2332781792.74</v>
      </c>
      <c r="S54" s="26">
        <v>0</v>
      </c>
    </row>
    <row r="55" spans="2:19">
      <c r="B55" t="s">
        <v>237</v>
      </c>
      <c r="C55" s="23">
        <v>46</v>
      </c>
      <c r="D55" s="23">
        <v>311238</v>
      </c>
      <c r="E55" s="23">
        <v>282832</v>
      </c>
      <c r="F55" s="23">
        <v>28405</v>
      </c>
      <c r="G55" s="23">
        <v>0</v>
      </c>
      <c r="H55" s="23">
        <v>0</v>
      </c>
      <c r="I55" s="24">
        <v>95664850.31</v>
      </c>
      <c r="J55" s="24">
        <v>88082361.63</v>
      </c>
      <c r="K55" s="24">
        <v>7582488.68</v>
      </c>
      <c r="L55" s="13">
        <v>0.25</v>
      </c>
      <c r="M55" s="13">
        <v>0.2902</v>
      </c>
      <c r="N55" s="23">
        <v>364836</v>
      </c>
      <c r="O55" s="24">
        <v>97137177.08</v>
      </c>
      <c r="P55" s="24">
        <v>75531880.25</v>
      </c>
      <c r="Q55" s="24">
        <v>3069142091.24</v>
      </c>
      <c r="R55" s="24">
        <v>2408313672.99</v>
      </c>
      <c r="S55" s="23">
        <v>0</v>
      </c>
    </row>
    <row r="56" spans="2:19">
      <c r="B56" s="25" t="s">
        <v>238</v>
      </c>
      <c r="C56" s="26">
        <v>47</v>
      </c>
      <c r="D56" s="26">
        <v>312754</v>
      </c>
      <c r="E56" s="26">
        <v>284145</v>
      </c>
      <c r="F56" s="26">
        <v>28609</v>
      </c>
      <c r="G56" s="26">
        <v>0</v>
      </c>
      <c r="H56" s="26">
        <v>0</v>
      </c>
      <c r="I56" s="27">
        <v>95884160.22</v>
      </c>
      <c r="J56" s="27">
        <v>88266639.59999999</v>
      </c>
      <c r="K56" s="27">
        <v>7617520.62</v>
      </c>
      <c r="L56" s="28">
        <v>0.2508</v>
      </c>
      <c r="M56" s="28">
        <v>0.29</v>
      </c>
      <c r="N56" s="26">
        <v>365176</v>
      </c>
      <c r="O56" s="27">
        <v>96979910.44</v>
      </c>
      <c r="P56" s="27">
        <v>75707328.18000001</v>
      </c>
      <c r="Q56" s="27">
        <v>3165026251.46</v>
      </c>
      <c r="R56" s="27">
        <v>2484021001.17</v>
      </c>
      <c r="S56" s="26">
        <v>0</v>
      </c>
    </row>
    <row r="57" spans="2:19">
      <c r="B57" t="s">
        <v>239</v>
      </c>
      <c r="C57" s="23">
        <v>48</v>
      </c>
      <c r="D57" s="23">
        <v>314125</v>
      </c>
      <c r="E57" s="23">
        <v>285331</v>
      </c>
      <c r="F57" s="23">
        <v>28794</v>
      </c>
      <c r="G57" s="23">
        <v>0</v>
      </c>
      <c r="H57" s="23">
        <v>0</v>
      </c>
      <c r="I57" s="24">
        <v>96057722.39</v>
      </c>
      <c r="J57" s="24">
        <v>88410517</v>
      </c>
      <c r="K57" s="24">
        <v>7647205.39</v>
      </c>
      <c r="L57" s="13">
        <v>0.2515</v>
      </c>
      <c r="M57" s="13">
        <v>0.2898</v>
      </c>
      <c r="N57" s="23">
        <v>365482</v>
      </c>
      <c r="O57" s="24">
        <v>96813987.23999999</v>
      </c>
      <c r="P57" s="24">
        <v>75846177.91</v>
      </c>
      <c r="Q57" s="24">
        <v>3261083973.85</v>
      </c>
      <c r="R57" s="24">
        <v>2559867179.08</v>
      </c>
      <c r="S57" s="23">
        <v>0</v>
      </c>
    </row>
    <row r="58" spans="2:19">
      <c r="B58" s="25" t="s">
        <v>240</v>
      </c>
      <c r="C58" s="26">
        <v>49</v>
      </c>
      <c r="D58" s="26">
        <v>315363</v>
      </c>
      <c r="E58" s="26">
        <v>286403</v>
      </c>
      <c r="F58" s="26">
        <v>28960</v>
      </c>
      <c r="G58" s="26">
        <v>0</v>
      </c>
      <c r="H58" s="26">
        <v>0</v>
      </c>
      <c r="I58" s="27">
        <v>96189669.58</v>
      </c>
      <c r="J58" s="27">
        <v>88517655.79000001</v>
      </c>
      <c r="K58" s="27">
        <v>7672013.78</v>
      </c>
      <c r="L58" s="28">
        <v>0.2521</v>
      </c>
      <c r="M58" s="28">
        <v>0.2897</v>
      </c>
      <c r="N58" s="26">
        <v>365758</v>
      </c>
      <c r="O58" s="27">
        <v>96640304</v>
      </c>
      <c r="P58" s="27">
        <v>75951735.66</v>
      </c>
      <c r="Q58" s="27">
        <v>3357273643.43</v>
      </c>
      <c r="R58" s="27">
        <v>2635818914.74</v>
      </c>
      <c r="S58" s="26">
        <v>0</v>
      </c>
    </row>
    <row r="59" spans="2:19">
      <c r="B59" t="s">
        <v>241</v>
      </c>
      <c r="C59" s="23">
        <v>50</v>
      </c>
      <c r="D59" s="23">
        <v>316481</v>
      </c>
      <c r="E59" s="23">
        <v>287370</v>
      </c>
      <c r="F59" s="23">
        <v>29111</v>
      </c>
      <c r="G59" s="23">
        <v>0</v>
      </c>
      <c r="H59" s="23">
        <v>0</v>
      </c>
      <c r="I59" s="24">
        <v>96283847.14</v>
      </c>
      <c r="J59" s="24">
        <v>88591461.11</v>
      </c>
      <c r="K59" s="24">
        <v>7692386.03</v>
      </c>
      <c r="L59" s="13">
        <v>0.2528</v>
      </c>
      <c r="M59" s="13">
        <v>0.2895</v>
      </c>
      <c r="N59" s="23">
        <v>366005</v>
      </c>
      <c r="O59" s="24">
        <v>96459679.86</v>
      </c>
      <c r="P59" s="24">
        <v>76027077.70999999</v>
      </c>
      <c r="Q59" s="24">
        <v>3453557490.57</v>
      </c>
      <c r="R59" s="24">
        <v>2711845992.46</v>
      </c>
      <c r="S59" s="23">
        <v>0</v>
      </c>
    </row>
    <row r="60" spans="2:19">
      <c r="B60" s="25" t="s">
        <v>242</v>
      </c>
      <c r="C60" s="26">
        <v>51</v>
      </c>
      <c r="D60" s="26">
        <v>317489</v>
      </c>
      <c r="E60" s="26">
        <v>288242</v>
      </c>
      <c r="F60" s="26">
        <v>29247</v>
      </c>
      <c r="G60" s="26">
        <v>0</v>
      </c>
      <c r="H60" s="26">
        <v>0</v>
      </c>
      <c r="I60" s="27">
        <v>96343816.14</v>
      </c>
      <c r="J60" s="27">
        <v>88635084.59</v>
      </c>
      <c r="K60" s="27">
        <v>7708731.55</v>
      </c>
      <c r="L60" s="28">
        <v>0.2533</v>
      </c>
      <c r="M60" s="28">
        <v>0.2893</v>
      </c>
      <c r="N60" s="26">
        <v>366228</v>
      </c>
      <c r="O60" s="27">
        <v>96272861.34</v>
      </c>
      <c r="P60" s="27">
        <v>76075052.91</v>
      </c>
      <c r="Q60" s="27">
        <v>3549901306.71</v>
      </c>
      <c r="R60" s="27">
        <v>2787921045.37</v>
      </c>
      <c r="S60" s="26">
        <v>0</v>
      </c>
    </row>
    <row r="61" spans="2:19">
      <c r="B61" t="s">
        <v>243</v>
      </c>
      <c r="C61" s="23">
        <v>52</v>
      </c>
      <c r="D61" s="23">
        <v>318398</v>
      </c>
      <c r="E61" s="23">
        <v>289028</v>
      </c>
      <c r="F61" s="23">
        <v>29370</v>
      </c>
      <c r="G61" s="23">
        <v>0</v>
      </c>
      <c r="H61" s="23">
        <v>0</v>
      </c>
      <c r="I61" s="24">
        <v>96372860.78</v>
      </c>
      <c r="J61" s="24">
        <v>88651431.42</v>
      </c>
      <c r="K61" s="24">
        <v>7721429.35</v>
      </c>
      <c r="L61" s="13">
        <v>0.2538</v>
      </c>
      <c r="M61" s="13">
        <v>0.2892</v>
      </c>
      <c r="N61" s="23">
        <v>366428</v>
      </c>
      <c r="O61" s="24">
        <v>96080527.18000001</v>
      </c>
      <c r="P61" s="24">
        <v>76098288.62</v>
      </c>
      <c r="Q61" s="24">
        <v>3646274167.49</v>
      </c>
      <c r="R61" s="24">
        <v>2864019333.99</v>
      </c>
      <c r="S61" s="23">
        <v>0</v>
      </c>
    </row>
    <row r="62" spans="2:19">
      <c r="B62" s="25" t="s">
        <v>244</v>
      </c>
      <c r="C62" s="26">
        <v>53</v>
      </c>
      <c r="D62" s="26">
        <v>319216</v>
      </c>
      <c r="E62" s="26">
        <v>289736</v>
      </c>
      <c r="F62" s="26">
        <v>29480</v>
      </c>
      <c r="G62" s="26">
        <v>0</v>
      </c>
      <c r="H62" s="26">
        <v>0</v>
      </c>
      <c r="I62" s="27">
        <v>96373998.91</v>
      </c>
      <c r="J62" s="27">
        <v>88643170.06999999</v>
      </c>
      <c r="K62" s="27">
        <v>7730828.84</v>
      </c>
      <c r="L62" s="28">
        <v>0.2542</v>
      </c>
      <c r="M62" s="28">
        <v>0.2891</v>
      </c>
      <c r="N62" s="26">
        <v>366608</v>
      </c>
      <c r="O62" s="27">
        <v>95883293.23999999</v>
      </c>
      <c r="P62" s="27">
        <v>76099199.13</v>
      </c>
      <c r="Q62" s="27">
        <v>3742648166.4</v>
      </c>
      <c r="R62" s="27">
        <v>2940118533.12</v>
      </c>
      <c r="S62" s="26">
        <v>0</v>
      </c>
    </row>
    <row r="63" spans="2:19">
      <c r="B63" t="s">
        <v>245</v>
      </c>
      <c r="C63" s="23">
        <v>54</v>
      </c>
      <c r="D63" s="23">
        <v>319952</v>
      </c>
      <c r="E63" s="23">
        <v>290372</v>
      </c>
      <c r="F63" s="23">
        <v>29580</v>
      </c>
      <c r="G63" s="23">
        <v>0</v>
      </c>
      <c r="H63" s="23">
        <v>0</v>
      </c>
      <c r="I63" s="24">
        <v>96349994.69</v>
      </c>
      <c r="J63" s="24">
        <v>88612743.73999999</v>
      </c>
      <c r="K63" s="24">
        <v>7737250.94</v>
      </c>
      <c r="L63" s="13">
        <v>0.2545</v>
      </c>
      <c r="M63" s="13">
        <v>0.289</v>
      </c>
      <c r="N63" s="23">
        <v>366769</v>
      </c>
      <c r="O63" s="24">
        <v>95681717.27</v>
      </c>
      <c r="P63" s="24">
        <v>76079995.75</v>
      </c>
      <c r="Q63" s="24">
        <v>3838998161.09</v>
      </c>
      <c r="R63" s="24">
        <v>3016198528.87</v>
      </c>
      <c r="S63" s="23">
        <v>0</v>
      </c>
    </row>
    <row r="64" spans="2:19">
      <c r="B64" s="25" t="s">
        <v>246</v>
      </c>
      <c r="C64" s="26">
        <v>55</v>
      </c>
      <c r="D64" s="26">
        <v>320614</v>
      </c>
      <c r="E64" s="26">
        <v>290945</v>
      </c>
      <c r="F64" s="26">
        <v>29669</v>
      </c>
      <c r="G64" s="26">
        <v>0</v>
      </c>
      <c r="H64" s="26">
        <v>0</v>
      </c>
      <c r="I64" s="27">
        <v>96303372.75</v>
      </c>
      <c r="J64" s="27">
        <v>88562383.23</v>
      </c>
      <c r="K64" s="27">
        <v>7740989.52</v>
      </c>
      <c r="L64" s="28">
        <v>0.255</v>
      </c>
      <c r="M64" s="28">
        <v>0.2889</v>
      </c>
      <c r="N64" s="26">
        <v>366914</v>
      </c>
      <c r="O64" s="27">
        <v>95476303.56999999</v>
      </c>
      <c r="P64" s="27">
        <v>76042698.2</v>
      </c>
      <c r="Q64" s="27">
        <v>3935301533.84</v>
      </c>
      <c r="R64" s="27">
        <v>3092241227.07</v>
      </c>
      <c r="S64" s="26">
        <v>0</v>
      </c>
    </row>
    <row r="65" spans="2:19">
      <c r="B65" t="s">
        <v>247</v>
      </c>
      <c r="C65" s="23">
        <v>56</v>
      </c>
      <c r="D65" s="23">
        <v>321209</v>
      </c>
      <c r="E65" s="23">
        <v>291460</v>
      </c>
      <c r="F65" s="23">
        <v>29750</v>
      </c>
      <c r="G65" s="23">
        <v>0</v>
      </c>
      <c r="H65" s="23">
        <v>0</v>
      </c>
      <c r="I65" s="24">
        <v>96236433.12</v>
      </c>
      <c r="J65" s="24">
        <v>88494120.23999999</v>
      </c>
      <c r="K65" s="24">
        <v>7742312.89</v>
      </c>
      <c r="L65" s="13">
        <v>0.2552</v>
      </c>
      <c r="M65" s="13">
        <v>0.2888</v>
      </c>
      <c r="N65" s="23">
        <v>367044</v>
      </c>
      <c r="O65" s="24">
        <v>95267507.47</v>
      </c>
      <c r="P65" s="24">
        <v>75989146.5</v>
      </c>
      <c r="Q65" s="24">
        <v>4031537966.96</v>
      </c>
      <c r="R65" s="24">
        <v>3168230373.57</v>
      </c>
      <c r="S65" s="23">
        <v>0</v>
      </c>
    </row>
    <row r="66" spans="2:19">
      <c r="B66" s="25" t="s">
        <v>248</v>
      </c>
      <c r="C66" s="26">
        <v>57</v>
      </c>
      <c r="D66" s="26">
        <v>321744</v>
      </c>
      <c r="E66" s="26">
        <v>291922</v>
      </c>
      <c r="F66" s="26">
        <v>29822</v>
      </c>
      <c r="G66" s="26">
        <v>0</v>
      </c>
      <c r="H66" s="26">
        <v>0</v>
      </c>
      <c r="I66" s="27">
        <v>96151266.54000001</v>
      </c>
      <c r="J66" s="27">
        <v>88409801.14</v>
      </c>
      <c r="K66" s="27">
        <v>7741465.4</v>
      </c>
      <c r="L66" s="28">
        <v>0.2555</v>
      </c>
      <c r="M66" s="28">
        <v>0.2888</v>
      </c>
      <c r="N66" s="26">
        <v>367161</v>
      </c>
      <c r="O66" s="27">
        <v>95055739.51000001</v>
      </c>
      <c r="P66" s="27">
        <v>75921013.23</v>
      </c>
      <c r="Q66" s="27">
        <v>4127689233.5</v>
      </c>
      <c r="R66" s="27">
        <v>3244151386.8</v>
      </c>
      <c r="S66" s="26">
        <v>0</v>
      </c>
    </row>
    <row r="67" spans="2:19">
      <c r="B67" t="s">
        <v>249</v>
      </c>
      <c r="C67" s="23">
        <v>58</v>
      </c>
      <c r="D67" s="23">
        <v>322224</v>
      </c>
      <c r="E67" s="23">
        <v>292337</v>
      </c>
      <c r="F67" s="23">
        <v>29887</v>
      </c>
      <c r="G67" s="23">
        <v>0</v>
      </c>
      <c r="H67" s="23">
        <v>0</v>
      </c>
      <c r="I67" s="24">
        <v>96049769.70999999</v>
      </c>
      <c r="J67" s="24">
        <v>88311100.58</v>
      </c>
      <c r="K67" s="24">
        <v>7738669.13</v>
      </c>
      <c r="L67" s="13">
        <v>0.2557</v>
      </c>
      <c r="M67" s="13">
        <v>0.2887</v>
      </c>
      <c r="N67" s="23">
        <v>367265</v>
      </c>
      <c r="O67" s="24">
        <v>94841369.47</v>
      </c>
      <c r="P67" s="24">
        <v>75839815.77</v>
      </c>
      <c r="Q67" s="24">
        <v>4223739003.21</v>
      </c>
      <c r="R67" s="24">
        <v>3319991202.57</v>
      </c>
      <c r="S67" s="23">
        <v>0</v>
      </c>
    </row>
    <row r="68" spans="2:19">
      <c r="B68" s="25" t="s">
        <v>250</v>
      </c>
      <c r="C68" s="26">
        <v>59</v>
      </c>
      <c r="D68" s="26">
        <v>322655</v>
      </c>
      <c r="E68" s="26">
        <v>292710</v>
      </c>
      <c r="F68" s="26">
        <v>29945</v>
      </c>
      <c r="G68" s="26">
        <v>0</v>
      </c>
      <c r="H68" s="26">
        <v>0</v>
      </c>
      <c r="I68" s="27">
        <v>95933660.27</v>
      </c>
      <c r="J68" s="27">
        <v>88199534.79000001</v>
      </c>
      <c r="K68" s="27">
        <v>7734125.48</v>
      </c>
      <c r="L68" s="28">
        <v>0.256</v>
      </c>
      <c r="M68" s="28">
        <v>0.2886</v>
      </c>
      <c r="N68" s="26">
        <v>367359</v>
      </c>
      <c r="O68" s="27">
        <v>94624729.98</v>
      </c>
      <c r="P68" s="27">
        <v>75746928.22</v>
      </c>
      <c r="Q68" s="27">
        <v>4319672663.48</v>
      </c>
      <c r="R68" s="27">
        <v>3395738130.78</v>
      </c>
      <c r="S68" s="26">
        <v>0</v>
      </c>
    </row>
  </sheetData>
  <mergeCells count="11">
    <mergeCell ref="B2:O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563EB"/>
  </sheetPr>
  <dimension ref="B2:S68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20" width="15.7109375" customWidth="1"/>
  </cols>
  <sheetData>
    <row r="2" spans="2:19">
      <c r="B2" s="1" t="s">
        <v>251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2:19">
      <c r="B4" s="18" t="s">
        <v>167</v>
      </c>
      <c r="C4" s="18"/>
      <c r="D4" s="18" t="s">
        <v>168</v>
      </c>
      <c r="E4" s="18"/>
      <c r="F4" s="18" t="s">
        <v>169</v>
      </c>
      <c r="G4" s="18"/>
      <c r="H4" s="18" t="s">
        <v>170</v>
      </c>
      <c r="I4" s="18"/>
      <c r="J4" s="18" t="s">
        <v>172</v>
      </c>
      <c r="K4" s="18"/>
    </row>
    <row r="5" spans="2:19">
      <c r="B5" s="29">
        <v>1042914826.67</v>
      </c>
      <c r="C5" s="29"/>
      <c r="D5" s="29">
        <v>5639581901.47</v>
      </c>
      <c r="E5" s="29"/>
      <c r="F5" s="20">
        <v>367359</v>
      </c>
      <c r="G5" s="20"/>
      <c r="H5" s="20" t="s">
        <v>171</v>
      </c>
      <c r="I5" s="20"/>
      <c r="J5" s="21">
        <v>4451665521.16</v>
      </c>
      <c r="K5" s="21"/>
    </row>
    <row r="8" spans="2:19" ht="35" customHeight="1">
      <c r="B8" s="30" t="s">
        <v>173</v>
      </c>
      <c r="C8" s="30" t="s">
        <v>174</v>
      </c>
      <c r="D8" s="30" t="s">
        <v>175</v>
      </c>
      <c r="E8" s="30" t="s">
        <v>176</v>
      </c>
      <c r="F8" s="30" t="s">
        <v>177</v>
      </c>
      <c r="G8" s="30" t="s">
        <v>178</v>
      </c>
      <c r="H8" s="30" t="s">
        <v>179</v>
      </c>
      <c r="I8" s="30" t="s">
        <v>180</v>
      </c>
      <c r="J8" s="30" t="s">
        <v>181</v>
      </c>
      <c r="K8" s="30" t="s">
        <v>182</v>
      </c>
      <c r="L8" s="30" t="s">
        <v>183</v>
      </c>
      <c r="M8" s="30" t="s">
        <v>184</v>
      </c>
      <c r="N8" s="30" t="s">
        <v>185</v>
      </c>
      <c r="O8" s="30" t="s">
        <v>186</v>
      </c>
      <c r="P8" s="30" t="s">
        <v>187</v>
      </c>
      <c r="Q8" s="30" t="s">
        <v>188</v>
      </c>
      <c r="R8" s="30" t="s">
        <v>189</v>
      </c>
      <c r="S8" s="30" t="s">
        <v>190</v>
      </c>
    </row>
    <row r="9" spans="2:19">
      <c r="B9" t="s">
        <v>191</v>
      </c>
      <c r="C9" s="23">
        <v>0</v>
      </c>
      <c r="D9" s="23">
        <v>284401</v>
      </c>
      <c r="E9" s="23">
        <v>282222</v>
      </c>
      <c r="F9" s="23">
        <v>2179</v>
      </c>
      <c r="G9" s="23">
        <v>0</v>
      </c>
      <c r="H9" s="23">
        <v>0</v>
      </c>
      <c r="I9" s="24">
        <v>85270128.39</v>
      </c>
      <c r="J9" s="24">
        <v>84666602.31</v>
      </c>
      <c r="K9" s="24">
        <v>603526.08</v>
      </c>
      <c r="L9" s="13">
        <v>0.3358</v>
      </c>
      <c r="M9" s="13">
        <v>0.097</v>
      </c>
      <c r="N9" s="23">
        <v>81907</v>
      </c>
      <c r="O9" s="24">
        <v>28581913.38</v>
      </c>
      <c r="P9" s="24">
        <v>67216102.70999999</v>
      </c>
      <c r="Q9" s="24">
        <v>85270128.39</v>
      </c>
      <c r="R9" s="24">
        <v>67216102.70999999</v>
      </c>
      <c r="S9" s="23">
        <v>0</v>
      </c>
    </row>
    <row r="10" spans="2:19">
      <c r="B10" s="25" t="s">
        <v>192</v>
      </c>
      <c r="C10" s="26">
        <v>1</v>
      </c>
      <c r="D10" s="26">
        <v>285774</v>
      </c>
      <c r="E10" s="26">
        <v>283505</v>
      </c>
      <c r="F10" s="26">
        <v>2268</v>
      </c>
      <c r="G10" s="26">
        <v>0</v>
      </c>
      <c r="H10" s="26">
        <v>0</v>
      </c>
      <c r="I10" s="27">
        <v>85462731.43000001</v>
      </c>
      <c r="J10" s="27">
        <v>84836007.98</v>
      </c>
      <c r="K10" s="27">
        <v>626723.46</v>
      </c>
      <c r="L10" s="28">
        <v>0.3351</v>
      </c>
      <c r="M10" s="28">
        <v>0.09909999999999999</v>
      </c>
      <c r="N10" s="26">
        <v>84308</v>
      </c>
      <c r="O10" s="27">
        <v>29337564.22</v>
      </c>
      <c r="P10" s="27">
        <v>67370185.14</v>
      </c>
      <c r="Q10" s="27">
        <v>170732859.82</v>
      </c>
      <c r="R10" s="27">
        <v>134586287.86</v>
      </c>
      <c r="S10" s="26">
        <v>0</v>
      </c>
    </row>
    <row r="11" spans="2:19">
      <c r="B11" t="s">
        <v>193</v>
      </c>
      <c r="C11" s="23">
        <v>2</v>
      </c>
      <c r="D11" s="23">
        <v>287257</v>
      </c>
      <c r="E11" s="23">
        <v>284890</v>
      </c>
      <c r="F11" s="23">
        <v>2367</v>
      </c>
      <c r="G11" s="23">
        <v>0</v>
      </c>
      <c r="H11" s="23">
        <v>0</v>
      </c>
      <c r="I11" s="24">
        <v>85686514.14</v>
      </c>
      <c r="J11" s="24">
        <v>85034079.98999999</v>
      </c>
      <c r="K11" s="24">
        <v>652434.16</v>
      </c>
      <c r="L11" s="13">
        <v>0.3343</v>
      </c>
      <c r="M11" s="13">
        <v>0.1015</v>
      </c>
      <c r="N11" s="23">
        <v>86945</v>
      </c>
      <c r="O11" s="24">
        <v>30170152.3</v>
      </c>
      <c r="P11" s="24">
        <v>67549211.31</v>
      </c>
      <c r="Q11" s="24">
        <v>256419373.96</v>
      </c>
      <c r="R11" s="24">
        <v>202135499.17</v>
      </c>
      <c r="S11" s="23">
        <v>0</v>
      </c>
    </row>
    <row r="12" spans="2:19">
      <c r="B12" s="25" t="s">
        <v>194</v>
      </c>
      <c r="C12" s="26">
        <v>3</v>
      </c>
      <c r="D12" s="26">
        <v>288854</v>
      </c>
      <c r="E12" s="26">
        <v>286377</v>
      </c>
      <c r="F12" s="26">
        <v>2477</v>
      </c>
      <c r="G12" s="26">
        <v>0</v>
      </c>
      <c r="H12" s="26">
        <v>0</v>
      </c>
      <c r="I12" s="27">
        <v>85942260.42</v>
      </c>
      <c r="J12" s="27">
        <v>85261392.88</v>
      </c>
      <c r="K12" s="27">
        <v>680867.54</v>
      </c>
      <c r="L12" s="28">
        <v>0.3334</v>
      </c>
      <c r="M12" s="28">
        <v>0.104</v>
      </c>
      <c r="N12" s="26">
        <v>89835</v>
      </c>
      <c r="O12" s="27">
        <v>31084892.17</v>
      </c>
      <c r="P12" s="27">
        <v>67753808.34</v>
      </c>
      <c r="Q12" s="27">
        <v>342361634.38</v>
      </c>
      <c r="R12" s="27">
        <v>269889307.5</v>
      </c>
      <c r="S12" s="26">
        <v>0</v>
      </c>
    </row>
    <row r="13" spans="2:19">
      <c r="B13" t="s">
        <v>195</v>
      </c>
      <c r="C13" s="23">
        <v>4</v>
      </c>
      <c r="D13" s="23">
        <v>290567</v>
      </c>
      <c r="E13" s="23">
        <v>287970</v>
      </c>
      <c r="F13" s="23">
        <v>2597</v>
      </c>
      <c r="G13" s="23">
        <v>0</v>
      </c>
      <c r="H13" s="23">
        <v>0</v>
      </c>
      <c r="I13" s="24">
        <v>86230456.42</v>
      </c>
      <c r="J13" s="24">
        <v>85518220.63</v>
      </c>
      <c r="K13" s="24">
        <v>712235.78</v>
      </c>
      <c r="L13" s="13">
        <v>0.3324</v>
      </c>
      <c r="M13" s="13">
        <v>0.1067</v>
      </c>
      <c r="N13" s="23">
        <v>92995</v>
      </c>
      <c r="O13" s="24">
        <v>32086861.79</v>
      </c>
      <c r="P13" s="24">
        <v>67984365.14</v>
      </c>
      <c r="Q13" s="24">
        <v>428592090.8</v>
      </c>
      <c r="R13" s="24">
        <v>337873672.64</v>
      </c>
      <c r="S13" s="23">
        <v>0</v>
      </c>
    </row>
    <row r="14" spans="2:19">
      <c r="B14" s="25" t="s">
        <v>196</v>
      </c>
      <c r="C14" s="26">
        <v>5</v>
      </c>
      <c r="D14" s="26">
        <v>292398</v>
      </c>
      <c r="E14" s="26">
        <v>289668</v>
      </c>
      <c r="F14" s="26">
        <v>2730</v>
      </c>
      <c r="G14" s="26">
        <v>0</v>
      </c>
      <c r="H14" s="26">
        <v>0</v>
      </c>
      <c r="I14" s="27">
        <v>86551233.18000001</v>
      </c>
      <c r="J14" s="27">
        <v>85804483.58</v>
      </c>
      <c r="K14" s="27">
        <v>746749.59</v>
      </c>
      <c r="L14" s="28">
        <v>0.3314</v>
      </c>
      <c r="M14" s="28">
        <v>0.1097</v>
      </c>
      <c r="N14" s="26">
        <v>96440</v>
      </c>
      <c r="O14" s="27">
        <v>33180867.28</v>
      </c>
      <c r="P14" s="27">
        <v>68240986.54000001</v>
      </c>
      <c r="Q14" s="27">
        <v>515143323.98</v>
      </c>
      <c r="R14" s="27">
        <v>406114659.18</v>
      </c>
      <c r="S14" s="26">
        <v>0</v>
      </c>
    </row>
    <row r="15" spans="2:19">
      <c r="B15" t="s">
        <v>197</v>
      </c>
      <c r="C15" s="23">
        <v>6</v>
      </c>
      <c r="D15" s="23">
        <v>294347</v>
      </c>
      <c r="E15" s="23">
        <v>291471</v>
      </c>
      <c r="F15" s="23">
        <v>2876</v>
      </c>
      <c r="G15" s="23">
        <v>0</v>
      </c>
      <c r="H15" s="23">
        <v>0</v>
      </c>
      <c r="I15" s="24">
        <v>86904310.73999999</v>
      </c>
      <c r="J15" s="24">
        <v>86119697.98</v>
      </c>
      <c r="K15" s="24">
        <v>784612.76</v>
      </c>
      <c r="L15" s="13">
        <v>0.3304</v>
      </c>
      <c r="M15" s="13">
        <v>0.1129</v>
      </c>
      <c r="N15" s="23">
        <v>100187</v>
      </c>
      <c r="O15" s="24">
        <v>34371284.34</v>
      </c>
      <c r="P15" s="24">
        <v>68523448.59</v>
      </c>
      <c r="Q15" s="24">
        <v>602047634.72</v>
      </c>
      <c r="R15" s="24">
        <v>474638107.78</v>
      </c>
      <c r="S15" s="23">
        <v>0</v>
      </c>
    </row>
    <row r="16" spans="2:19">
      <c r="B16" s="25" t="s">
        <v>198</v>
      </c>
      <c r="C16" s="26">
        <v>7</v>
      </c>
      <c r="D16" s="26">
        <v>296412</v>
      </c>
      <c r="E16" s="26">
        <v>293376</v>
      </c>
      <c r="F16" s="26">
        <v>3035</v>
      </c>
      <c r="G16" s="26">
        <v>0</v>
      </c>
      <c r="H16" s="26">
        <v>0</v>
      </c>
      <c r="I16" s="27">
        <v>87288946.77</v>
      </c>
      <c r="J16" s="27">
        <v>86462931.09999999</v>
      </c>
      <c r="K16" s="27">
        <v>826015.67</v>
      </c>
      <c r="L16" s="28">
        <v>0.3292</v>
      </c>
      <c r="M16" s="28">
        <v>0.1163</v>
      </c>
      <c r="N16" s="26">
        <v>104249</v>
      </c>
      <c r="O16" s="27">
        <v>35661877.74</v>
      </c>
      <c r="P16" s="27">
        <v>68831157.42</v>
      </c>
      <c r="Q16" s="27">
        <v>689336581.49</v>
      </c>
      <c r="R16" s="27">
        <v>543469265.1900001</v>
      </c>
      <c r="S16" s="26">
        <v>0</v>
      </c>
    </row>
    <row r="17" spans="2:19">
      <c r="B17" t="s">
        <v>199</v>
      </c>
      <c r="C17" s="23">
        <v>8</v>
      </c>
      <c r="D17" s="23">
        <v>298589</v>
      </c>
      <c r="E17" s="23">
        <v>295380</v>
      </c>
      <c r="F17" s="23">
        <v>3209</v>
      </c>
      <c r="G17" s="23">
        <v>0</v>
      </c>
      <c r="H17" s="23">
        <v>0</v>
      </c>
      <c r="I17" s="24">
        <v>87703893.11</v>
      </c>
      <c r="J17" s="24">
        <v>86832765.42</v>
      </c>
      <c r="K17" s="24">
        <v>871127.6899999999</v>
      </c>
      <c r="L17" s="13">
        <v>0.328</v>
      </c>
      <c r="M17" s="13">
        <v>0.1199</v>
      </c>
      <c r="N17" s="23">
        <v>108636</v>
      </c>
      <c r="O17" s="24">
        <v>37055602.08</v>
      </c>
      <c r="P17" s="24">
        <v>69163114.48999999</v>
      </c>
      <c r="Q17" s="24">
        <v>777040474.6</v>
      </c>
      <c r="R17" s="24">
        <v>612632379.6799999</v>
      </c>
      <c r="S17" s="23">
        <v>0</v>
      </c>
    </row>
    <row r="18" spans="2:19">
      <c r="B18" s="25" t="s">
        <v>200</v>
      </c>
      <c r="C18" s="26">
        <v>9</v>
      </c>
      <c r="D18" s="26">
        <v>300875</v>
      </c>
      <c r="E18" s="26">
        <v>297476</v>
      </c>
      <c r="F18" s="26">
        <v>3398</v>
      </c>
      <c r="G18" s="26">
        <v>0</v>
      </c>
      <c r="H18" s="26">
        <v>0</v>
      </c>
      <c r="I18" s="27">
        <v>88147363.98999999</v>
      </c>
      <c r="J18" s="27">
        <v>87227275.37</v>
      </c>
      <c r="K18" s="27">
        <v>920088.63</v>
      </c>
      <c r="L18" s="28">
        <v>0.3269</v>
      </c>
      <c r="M18" s="28">
        <v>0.1237</v>
      </c>
      <c r="N18" s="26">
        <v>113358</v>
      </c>
      <c r="O18" s="27">
        <v>38554389.52</v>
      </c>
      <c r="P18" s="27">
        <v>69517891.19</v>
      </c>
      <c r="Q18" s="27">
        <v>865187838.59</v>
      </c>
      <c r="R18" s="27">
        <v>682150270.87</v>
      </c>
      <c r="S18" s="26">
        <v>0</v>
      </c>
    </row>
    <row r="19" spans="2:19">
      <c r="B19" t="s">
        <v>201</v>
      </c>
      <c r="C19" s="23">
        <v>10</v>
      </c>
      <c r="D19" s="23">
        <v>303260</v>
      </c>
      <c r="E19" s="23">
        <v>299657</v>
      </c>
      <c r="F19" s="23">
        <v>3603</v>
      </c>
      <c r="G19" s="23">
        <v>0</v>
      </c>
      <c r="H19" s="23">
        <v>0</v>
      </c>
      <c r="I19" s="24">
        <v>88617019.65000001</v>
      </c>
      <c r="J19" s="24">
        <v>87644020.09999999</v>
      </c>
      <c r="K19" s="24">
        <v>972999.55</v>
      </c>
      <c r="L19" s="13">
        <v>0.3255</v>
      </c>
      <c r="M19" s="13">
        <v>0.1278</v>
      </c>
      <c r="N19" s="23">
        <v>118418</v>
      </c>
      <c r="O19" s="24">
        <v>40158932.61</v>
      </c>
      <c r="P19" s="24">
        <v>69893615.72</v>
      </c>
      <c r="Q19" s="24">
        <v>953804858.24</v>
      </c>
      <c r="R19" s="24">
        <v>752043886.59</v>
      </c>
      <c r="S19" s="23">
        <v>0</v>
      </c>
    </row>
    <row r="20" spans="2:19">
      <c r="B20" s="25" t="s">
        <v>202</v>
      </c>
      <c r="C20" s="26">
        <v>11</v>
      </c>
      <c r="D20" s="26">
        <v>305737</v>
      </c>
      <c r="E20" s="26">
        <v>301913</v>
      </c>
      <c r="F20" s="26">
        <v>3823</v>
      </c>
      <c r="G20" s="26">
        <v>0</v>
      </c>
      <c r="H20" s="26">
        <v>0</v>
      </c>
      <c r="I20" s="27">
        <v>89109968.43000001</v>
      </c>
      <c r="J20" s="27">
        <v>88080055.14</v>
      </c>
      <c r="K20" s="27">
        <v>1029913.29</v>
      </c>
      <c r="L20" s="28">
        <v>0.3242</v>
      </c>
      <c r="M20" s="28">
        <v>0.132</v>
      </c>
      <c r="N20" s="26">
        <v>123818</v>
      </c>
      <c r="O20" s="27">
        <v>41868472.98</v>
      </c>
      <c r="P20" s="27">
        <v>70287974.73999999</v>
      </c>
      <c r="Q20" s="27">
        <v>1042914826.67</v>
      </c>
      <c r="R20" s="27">
        <v>822331861.34</v>
      </c>
      <c r="S20" s="26">
        <v>0</v>
      </c>
    </row>
    <row r="21" spans="2:19">
      <c r="B21" t="s">
        <v>203</v>
      </c>
      <c r="C21" s="23">
        <v>12</v>
      </c>
      <c r="D21" s="23">
        <v>308293</v>
      </c>
      <c r="E21" s="23">
        <v>304234</v>
      </c>
      <c r="F21" s="23">
        <v>4060</v>
      </c>
      <c r="G21" s="23">
        <v>0</v>
      </c>
      <c r="H21" s="23">
        <v>0</v>
      </c>
      <c r="I21" s="24">
        <v>89622790.16</v>
      </c>
      <c r="J21" s="24">
        <v>88531965.05</v>
      </c>
      <c r="K21" s="24">
        <v>1090825.11</v>
      </c>
      <c r="L21" s="13">
        <v>0.3227</v>
      </c>
      <c r="M21" s="13">
        <v>0.1365</v>
      </c>
      <c r="N21" s="23">
        <v>129552</v>
      </c>
      <c r="O21" s="24">
        <v>43680609.19</v>
      </c>
      <c r="P21" s="24">
        <v>70698232.13</v>
      </c>
      <c r="Q21" s="24">
        <v>1132537616.83</v>
      </c>
      <c r="R21" s="24">
        <v>893030093.46</v>
      </c>
      <c r="S21" s="23">
        <v>0</v>
      </c>
    </row>
    <row r="22" spans="2:19">
      <c r="B22" s="25" t="s">
        <v>204</v>
      </c>
      <c r="C22" s="26">
        <v>13</v>
      </c>
      <c r="D22" s="26">
        <v>310917</v>
      </c>
      <c r="E22" s="26">
        <v>306605</v>
      </c>
      <c r="F22" s="26">
        <v>4312</v>
      </c>
      <c r="G22" s="26">
        <v>0</v>
      </c>
      <c r="H22" s="26">
        <v>0</v>
      </c>
      <c r="I22" s="27">
        <v>90151582.09999999</v>
      </c>
      <c r="J22" s="27">
        <v>88995917.78</v>
      </c>
      <c r="K22" s="27">
        <v>1155664.32</v>
      </c>
      <c r="L22" s="28">
        <v>0.3213</v>
      </c>
      <c r="M22" s="28">
        <v>0.1411</v>
      </c>
      <c r="N22" s="26">
        <v>135612</v>
      </c>
      <c r="O22" s="27">
        <v>45591138.23</v>
      </c>
      <c r="P22" s="27">
        <v>71121265.68000001</v>
      </c>
      <c r="Q22" s="27">
        <v>1222689198.93</v>
      </c>
      <c r="R22" s="27">
        <v>964151359.14</v>
      </c>
      <c r="S22" s="26">
        <v>0</v>
      </c>
    </row>
    <row r="23" spans="2:19">
      <c r="B23" t="s">
        <v>205</v>
      </c>
      <c r="C23" s="23">
        <v>14</v>
      </c>
      <c r="D23" s="23">
        <v>313594</v>
      </c>
      <c r="E23" s="23">
        <v>309014</v>
      </c>
      <c r="F23" s="23">
        <v>4580</v>
      </c>
      <c r="G23" s="23">
        <v>0</v>
      </c>
      <c r="H23" s="23">
        <v>0</v>
      </c>
      <c r="I23" s="24">
        <v>90692027.52</v>
      </c>
      <c r="J23" s="24">
        <v>89467740.25</v>
      </c>
      <c r="K23" s="24">
        <v>1224287.27</v>
      </c>
      <c r="L23" s="13">
        <v>0.3199</v>
      </c>
      <c r="M23" s="13">
        <v>0.1458</v>
      </c>
      <c r="N23" s="23">
        <v>141980</v>
      </c>
      <c r="O23" s="24">
        <v>47593946.32</v>
      </c>
      <c r="P23" s="24">
        <v>71553622.02</v>
      </c>
      <c r="Q23" s="24">
        <v>1313381226.45</v>
      </c>
      <c r="R23" s="24">
        <v>1035704981.16</v>
      </c>
      <c r="S23" s="23">
        <v>0</v>
      </c>
    </row>
    <row r="24" spans="2:19">
      <c r="B24" s="25" t="s">
        <v>206</v>
      </c>
      <c r="C24" s="26">
        <v>15</v>
      </c>
      <c r="D24" s="26">
        <v>316307</v>
      </c>
      <c r="E24" s="26">
        <v>311445</v>
      </c>
      <c r="F24" s="26">
        <v>4862</v>
      </c>
      <c r="G24" s="26">
        <v>0</v>
      </c>
      <c r="H24" s="26">
        <v>0</v>
      </c>
      <c r="I24" s="27">
        <v>91239485.15000001</v>
      </c>
      <c r="J24" s="27">
        <v>89943012.45999999</v>
      </c>
      <c r="K24" s="27">
        <v>1296472.69</v>
      </c>
      <c r="L24" s="28">
        <v>0.3184</v>
      </c>
      <c r="M24" s="28">
        <v>0.1507</v>
      </c>
      <c r="N24" s="26">
        <v>148635</v>
      </c>
      <c r="O24" s="27">
        <v>49680963.26</v>
      </c>
      <c r="P24" s="27">
        <v>71991588.12</v>
      </c>
      <c r="Q24" s="27">
        <v>1404620711.6</v>
      </c>
      <c r="R24" s="27">
        <v>1107696569.28</v>
      </c>
      <c r="S24" s="26">
        <v>0</v>
      </c>
    </row>
    <row r="25" spans="2:19">
      <c r="B25" t="s">
        <v>207</v>
      </c>
      <c r="C25" s="23">
        <v>16</v>
      </c>
      <c r="D25" s="23">
        <v>319041</v>
      </c>
      <c r="E25" s="23">
        <v>313883</v>
      </c>
      <c r="F25" s="23">
        <v>5158</v>
      </c>
      <c r="G25" s="23">
        <v>0</v>
      </c>
      <c r="H25" s="23">
        <v>0</v>
      </c>
      <c r="I25" s="24">
        <v>91789096.25</v>
      </c>
      <c r="J25" s="24">
        <v>90417176.48</v>
      </c>
      <c r="K25" s="24">
        <v>1371919.77</v>
      </c>
      <c r="L25" s="13">
        <v>0.3168</v>
      </c>
      <c r="M25" s="13">
        <v>0.1556</v>
      </c>
      <c r="N25" s="23">
        <v>155550</v>
      </c>
      <c r="O25" s="24">
        <v>51842192.7</v>
      </c>
      <c r="P25" s="24">
        <v>72431277</v>
      </c>
      <c r="Q25" s="24">
        <v>1496409807.85</v>
      </c>
      <c r="R25" s="24">
        <v>1180127846.28</v>
      </c>
      <c r="S25" s="23">
        <v>0</v>
      </c>
    </row>
    <row r="26" spans="2:19">
      <c r="B26" s="25" t="s">
        <v>208</v>
      </c>
      <c r="C26" s="26">
        <v>17</v>
      </c>
      <c r="D26" s="26">
        <v>321777</v>
      </c>
      <c r="E26" s="26">
        <v>316311</v>
      </c>
      <c r="F26" s="26">
        <v>5466</v>
      </c>
      <c r="G26" s="26">
        <v>0</v>
      </c>
      <c r="H26" s="26">
        <v>0</v>
      </c>
      <c r="I26" s="27">
        <v>92335904.29000001</v>
      </c>
      <c r="J26" s="27">
        <v>90885654.56999999</v>
      </c>
      <c r="K26" s="27">
        <v>1450249.73</v>
      </c>
      <c r="L26" s="28">
        <v>0.3154</v>
      </c>
      <c r="M26" s="28">
        <v>0.1606</v>
      </c>
      <c r="N26" s="26">
        <v>162689</v>
      </c>
      <c r="O26" s="27">
        <v>54065825.81</v>
      </c>
      <c r="P26" s="27">
        <v>72868723.43000001</v>
      </c>
      <c r="Q26" s="27">
        <v>1588745712.14</v>
      </c>
      <c r="R26" s="27">
        <v>1252996569.71</v>
      </c>
      <c r="S26" s="26">
        <v>0</v>
      </c>
    </row>
    <row r="27" spans="2:19">
      <c r="B27" t="s">
        <v>209</v>
      </c>
      <c r="C27" s="23">
        <v>18</v>
      </c>
      <c r="D27" s="23">
        <v>324499</v>
      </c>
      <c r="E27" s="23">
        <v>318714</v>
      </c>
      <c r="F27" s="23">
        <v>5785</v>
      </c>
      <c r="G27" s="23">
        <v>0</v>
      </c>
      <c r="H27" s="23">
        <v>0</v>
      </c>
      <c r="I27" s="24">
        <v>92874981.19</v>
      </c>
      <c r="J27" s="24">
        <v>91343970.34</v>
      </c>
      <c r="K27" s="24">
        <v>1531010.85</v>
      </c>
      <c r="L27" s="13">
        <v>0.3138</v>
      </c>
      <c r="M27" s="13">
        <v>0.1657</v>
      </c>
      <c r="N27" s="23">
        <v>170014</v>
      </c>
      <c r="O27" s="24">
        <v>56338440.98</v>
      </c>
      <c r="P27" s="24">
        <v>73299984.95</v>
      </c>
      <c r="Q27" s="24">
        <v>1681620693.33</v>
      </c>
      <c r="R27" s="24">
        <v>1326296554.66</v>
      </c>
      <c r="S27" s="23">
        <v>0</v>
      </c>
    </row>
    <row r="28" spans="2:19">
      <c r="B28" s="25" t="s">
        <v>210</v>
      </c>
      <c r="C28" s="26">
        <v>19</v>
      </c>
      <c r="D28" s="26">
        <v>327190</v>
      </c>
      <c r="E28" s="26">
        <v>321077</v>
      </c>
      <c r="F28" s="26">
        <v>6113</v>
      </c>
      <c r="G28" s="26">
        <v>0</v>
      </c>
      <c r="H28" s="26">
        <v>0</v>
      </c>
      <c r="I28" s="27">
        <v>93401553.23</v>
      </c>
      <c r="J28" s="27">
        <v>91787865.89</v>
      </c>
      <c r="K28" s="27">
        <v>1613687.34</v>
      </c>
      <c r="L28" s="28">
        <v>0.3123</v>
      </c>
      <c r="M28" s="28">
        <v>0.1707</v>
      </c>
      <c r="N28" s="26">
        <v>177482</v>
      </c>
      <c r="O28" s="27">
        <v>58645284.86</v>
      </c>
      <c r="P28" s="27">
        <v>73721242.58</v>
      </c>
      <c r="Q28" s="27">
        <v>1775022246.56</v>
      </c>
      <c r="R28" s="27">
        <v>1400017797.25</v>
      </c>
      <c r="S28" s="26">
        <v>0</v>
      </c>
    </row>
    <row r="29" spans="2:19">
      <c r="B29" t="s">
        <v>211</v>
      </c>
      <c r="C29" s="23">
        <v>20</v>
      </c>
      <c r="D29" s="23">
        <v>329833</v>
      </c>
      <c r="E29" s="23">
        <v>323385</v>
      </c>
      <c r="F29" s="23">
        <v>6448</v>
      </c>
      <c r="G29" s="23">
        <v>0</v>
      </c>
      <c r="H29" s="23">
        <v>0</v>
      </c>
      <c r="I29" s="24">
        <v>93911119.94</v>
      </c>
      <c r="J29" s="24">
        <v>92213408.5</v>
      </c>
      <c r="K29" s="24">
        <v>1697711.44</v>
      </c>
      <c r="L29" s="13">
        <v>0.3109</v>
      </c>
      <c r="M29" s="13">
        <v>0.1758</v>
      </c>
      <c r="N29" s="23">
        <v>185045</v>
      </c>
      <c r="O29" s="24">
        <v>60970623.9</v>
      </c>
      <c r="P29" s="24">
        <v>74128895.95</v>
      </c>
      <c r="Q29" s="24">
        <v>1868933366.5</v>
      </c>
      <c r="R29" s="24">
        <v>1474146693.2</v>
      </c>
      <c r="S29" s="23">
        <v>0</v>
      </c>
    </row>
    <row r="30" spans="2:19">
      <c r="B30" s="25" t="s">
        <v>212</v>
      </c>
      <c r="C30" s="26">
        <v>21</v>
      </c>
      <c r="D30" s="26">
        <v>332413</v>
      </c>
      <c r="E30" s="26">
        <v>325626</v>
      </c>
      <c r="F30" s="26">
        <v>6787</v>
      </c>
      <c r="G30" s="26">
        <v>0</v>
      </c>
      <c r="H30" s="26">
        <v>0</v>
      </c>
      <c r="I30" s="27">
        <v>94399559.44</v>
      </c>
      <c r="J30" s="27">
        <v>92617081.16</v>
      </c>
      <c r="K30" s="27">
        <v>1782478.28</v>
      </c>
      <c r="L30" s="28">
        <v>0.3093</v>
      </c>
      <c r="M30" s="28">
        <v>0.1808</v>
      </c>
      <c r="N30" s="26">
        <v>192653</v>
      </c>
      <c r="O30" s="27">
        <v>63298148.74</v>
      </c>
      <c r="P30" s="27">
        <v>74519647.55</v>
      </c>
      <c r="Q30" s="27">
        <v>1963332925.94</v>
      </c>
      <c r="R30" s="27">
        <v>1548666340.75</v>
      </c>
      <c r="S30" s="26">
        <v>0</v>
      </c>
    </row>
    <row r="31" spans="2:19">
      <c r="B31" t="s">
        <v>213</v>
      </c>
      <c r="C31" s="23">
        <v>22</v>
      </c>
      <c r="D31" s="23">
        <v>334917</v>
      </c>
      <c r="E31" s="23">
        <v>327789</v>
      </c>
      <c r="F31" s="23">
        <v>7129</v>
      </c>
      <c r="G31" s="23">
        <v>0</v>
      </c>
      <c r="H31" s="23">
        <v>0</v>
      </c>
      <c r="I31" s="24">
        <v>94863215.34999999</v>
      </c>
      <c r="J31" s="24">
        <v>92995852.56</v>
      </c>
      <c r="K31" s="24">
        <v>1867362.8</v>
      </c>
      <c r="L31" s="13">
        <v>0.3079</v>
      </c>
      <c r="M31" s="13">
        <v>0.1857</v>
      </c>
      <c r="N31" s="23">
        <v>200256</v>
      </c>
      <c r="O31" s="24">
        <v>65611409.67</v>
      </c>
      <c r="P31" s="24">
        <v>74890572.28</v>
      </c>
      <c r="Q31" s="24">
        <v>2058196141.29</v>
      </c>
      <c r="R31" s="24">
        <v>1623556913.03</v>
      </c>
      <c r="S31" s="23">
        <v>0</v>
      </c>
    </row>
    <row r="32" spans="2:19">
      <c r="B32" s="25" t="s">
        <v>214</v>
      </c>
      <c r="C32" s="26">
        <v>23</v>
      </c>
      <c r="D32" s="26">
        <v>337333</v>
      </c>
      <c r="E32" s="26">
        <v>329864</v>
      </c>
      <c r="F32" s="26">
        <v>7470</v>
      </c>
      <c r="G32" s="26">
        <v>0</v>
      </c>
      <c r="H32" s="26">
        <v>0</v>
      </c>
      <c r="I32" s="27">
        <v>95298961.51000001</v>
      </c>
      <c r="J32" s="27">
        <v>93347224.05</v>
      </c>
      <c r="K32" s="27">
        <v>1951737.46</v>
      </c>
      <c r="L32" s="28">
        <v>0.3066</v>
      </c>
      <c r="M32" s="28">
        <v>0.1905</v>
      </c>
      <c r="N32" s="26">
        <v>207805</v>
      </c>
      <c r="O32" s="27">
        <v>67894258.02</v>
      </c>
      <c r="P32" s="27">
        <v>75239169.20999999</v>
      </c>
      <c r="Q32" s="27">
        <v>2153495102.8</v>
      </c>
      <c r="R32" s="27">
        <v>1698796082.24</v>
      </c>
      <c r="S32" s="26">
        <v>0</v>
      </c>
    </row>
    <row r="33" spans="2:19">
      <c r="B33" t="s">
        <v>215</v>
      </c>
      <c r="C33" s="23">
        <v>24</v>
      </c>
      <c r="D33" s="23">
        <v>339651</v>
      </c>
      <c r="E33" s="23">
        <v>331843</v>
      </c>
      <c r="F33" s="23">
        <v>7808</v>
      </c>
      <c r="G33" s="23">
        <v>0</v>
      </c>
      <c r="H33" s="23">
        <v>0</v>
      </c>
      <c r="I33" s="24">
        <v>95704242.81</v>
      </c>
      <c r="J33" s="24">
        <v>93669252.88</v>
      </c>
      <c r="K33" s="24">
        <v>2034989.93</v>
      </c>
      <c r="L33" s="13">
        <v>0.3053</v>
      </c>
      <c r="M33" s="13">
        <v>0.1951</v>
      </c>
      <c r="N33" s="23">
        <v>215250</v>
      </c>
      <c r="O33" s="24">
        <v>70131268.58</v>
      </c>
      <c r="P33" s="24">
        <v>75563394.25</v>
      </c>
      <c r="Q33" s="24">
        <v>2249199345.61</v>
      </c>
      <c r="R33" s="24">
        <v>1774359476.49</v>
      </c>
      <c r="S33" s="23">
        <v>0</v>
      </c>
    </row>
    <row r="34" spans="2:19">
      <c r="B34" s="25" t="s">
        <v>216</v>
      </c>
      <c r="C34" s="26">
        <v>25</v>
      </c>
      <c r="D34" s="26">
        <v>341862</v>
      </c>
      <c r="E34" s="26">
        <v>333721</v>
      </c>
      <c r="F34" s="26">
        <v>8142</v>
      </c>
      <c r="G34" s="26">
        <v>0</v>
      </c>
      <c r="H34" s="26">
        <v>0</v>
      </c>
      <c r="I34" s="27">
        <v>96077092.09999999</v>
      </c>
      <c r="J34" s="27">
        <v>93960552.56999999</v>
      </c>
      <c r="K34" s="27">
        <v>2116539.53</v>
      </c>
      <c r="L34" s="28">
        <v>0.304</v>
      </c>
      <c r="M34" s="28">
        <v>0.1997</v>
      </c>
      <c r="N34" s="26">
        <v>222547</v>
      </c>
      <c r="O34" s="27">
        <v>72308120.05</v>
      </c>
      <c r="P34" s="27">
        <v>75861673.68000001</v>
      </c>
      <c r="Q34" s="27">
        <v>2345276437.71</v>
      </c>
      <c r="R34" s="27">
        <v>1850221150.17</v>
      </c>
      <c r="S34" s="26">
        <v>0</v>
      </c>
    </row>
    <row r="35" spans="2:19">
      <c r="B35" t="s">
        <v>217</v>
      </c>
      <c r="C35" s="23">
        <v>26</v>
      </c>
      <c r="D35" s="23">
        <v>343962</v>
      </c>
      <c r="E35" s="23">
        <v>335494</v>
      </c>
      <c r="F35" s="23">
        <v>8468</v>
      </c>
      <c r="G35" s="23">
        <v>0</v>
      </c>
      <c r="H35" s="23">
        <v>0</v>
      </c>
      <c r="I35" s="24">
        <v>96416124.81999999</v>
      </c>
      <c r="J35" s="24">
        <v>94220273.12</v>
      </c>
      <c r="K35" s="24">
        <v>2195851.7</v>
      </c>
      <c r="L35" s="13">
        <v>0.3028</v>
      </c>
      <c r="M35" s="13">
        <v>0.204</v>
      </c>
      <c r="N35" s="23">
        <v>229654</v>
      </c>
      <c r="O35" s="24">
        <v>74411914.65000001</v>
      </c>
      <c r="P35" s="24">
        <v>76132899.86</v>
      </c>
      <c r="Q35" s="24">
        <v>2441692562.53</v>
      </c>
      <c r="R35" s="24">
        <v>1926354050.02</v>
      </c>
      <c r="S35" s="23">
        <v>0</v>
      </c>
    </row>
    <row r="36" spans="2:19">
      <c r="B36" s="25" t="s">
        <v>218</v>
      </c>
      <c r="C36" s="26">
        <v>27</v>
      </c>
      <c r="D36" s="26">
        <v>345945</v>
      </c>
      <c r="E36" s="26">
        <v>337160</v>
      </c>
      <c r="F36" s="26">
        <v>8786</v>
      </c>
      <c r="G36" s="26">
        <v>0</v>
      </c>
      <c r="H36" s="26">
        <v>0</v>
      </c>
      <c r="I36" s="27">
        <v>96720514.09999999</v>
      </c>
      <c r="J36" s="27">
        <v>94448064.40000001</v>
      </c>
      <c r="K36" s="27">
        <v>2272449.71</v>
      </c>
      <c r="L36" s="28">
        <v>0.3016</v>
      </c>
      <c r="M36" s="28">
        <v>0.2081</v>
      </c>
      <c r="N36" s="26">
        <v>236533</v>
      </c>
      <c r="O36" s="27">
        <v>76431423.79000001</v>
      </c>
      <c r="P36" s="27">
        <v>76376411.28</v>
      </c>
      <c r="Q36" s="27">
        <v>2538413076.63</v>
      </c>
      <c r="R36" s="27">
        <v>2002730461.3</v>
      </c>
      <c r="S36" s="26">
        <v>0</v>
      </c>
    </row>
    <row r="37" spans="2:19">
      <c r="B37" t="s">
        <v>219</v>
      </c>
      <c r="C37" s="23">
        <v>28</v>
      </c>
      <c r="D37" s="23">
        <v>347811</v>
      </c>
      <c r="E37" s="23">
        <v>338718</v>
      </c>
      <c r="F37" s="23">
        <v>9093</v>
      </c>
      <c r="G37" s="23">
        <v>0</v>
      </c>
      <c r="H37" s="23">
        <v>0</v>
      </c>
      <c r="I37" s="24">
        <v>96989950.23</v>
      </c>
      <c r="J37" s="24">
        <v>94644027.02</v>
      </c>
      <c r="K37" s="24">
        <v>2345923.22</v>
      </c>
      <c r="L37" s="13">
        <v>0.3006</v>
      </c>
      <c r="M37" s="13">
        <v>0.212</v>
      </c>
      <c r="N37" s="23">
        <v>243155</v>
      </c>
      <c r="O37" s="24">
        <v>78357253.03</v>
      </c>
      <c r="P37" s="24">
        <v>76591960.18000001</v>
      </c>
      <c r="Q37" s="24">
        <v>2635403026.86</v>
      </c>
      <c r="R37" s="24">
        <v>2079322421.49</v>
      </c>
      <c r="S37" s="23">
        <v>0</v>
      </c>
    </row>
    <row r="38" spans="2:19">
      <c r="B38" s="25" t="s">
        <v>220</v>
      </c>
      <c r="C38" s="26">
        <v>29</v>
      </c>
      <c r="D38" s="26">
        <v>349557</v>
      </c>
      <c r="E38" s="26">
        <v>340169</v>
      </c>
      <c r="F38" s="26">
        <v>9388</v>
      </c>
      <c r="G38" s="26">
        <v>0</v>
      </c>
      <c r="H38" s="26">
        <v>0</v>
      </c>
      <c r="I38" s="27">
        <v>97224588.37</v>
      </c>
      <c r="J38" s="27">
        <v>94808654.76000001</v>
      </c>
      <c r="K38" s="27">
        <v>2415933.61</v>
      </c>
      <c r="L38" s="28">
        <v>0.2995</v>
      </c>
      <c r="M38" s="28">
        <v>0.2157</v>
      </c>
      <c r="N38" s="26">
        <v>249492</v>
      </c>
      <c r="O38" s="27">
        <v>80181925.54000001</v>
      </c>
      <c r="P38" s="27">
        <v>76779670.7</v>
      </c>
      <c r="Q38" s="27">
        <v>2732627615.23</v>
      </c>
      <c r="R38" s="27">
        <v>2156102092.18</v>
      </c>
      <c r="S38" s="26">
        <v>0</v>
      </c>
    </row>
    <row r="39" spans="2:19">
      <c r="B39" t="s">
        <v>221</v>
      </c>
      <c r="C39" s="23">
        <v>30</v>
      </c>
      <c r="D39" s="23">
        <v>351186</v>
      </c>
      <c r="E39" s="23">
        <v>341516</v>
      </c>
      <c r="F39" s="23">
        <v>9670</v>
      </c>
      <c r="G39" s="23">
        <v>0</v>
      </c>
      <c r="H39" s="23">
        <v>0</v>
      </c>
      <c r="I39" s="24">
        <v>97424988.81999999</v>
      </c>
      <c r="J39" s="24">
        <v>94942772.73999999</v>
      </c>
      <c r="K39" s="24">
        <v>2482216.08</v>
      </c>
      <c r="L39" s="13">
        <v>0.2985</v>
      </c>
      <c r="M39" s="13">
        <v>0.2192</v>
      </c>
      <c r="N39" s="23">
        <v>255526</v>
      </c>
      <c r="O39" s="24">
        <v>81899889.09999999</v>
      </c>
      <c r="P39" s="24">
        <v>76939991.06</v>
      </c>
      <c r="Q39" s="24">
        <v>2830052604.05</v>
      </c>
      <c r="R39" s="24">
        <v>2233042083.24</v>
      </c>
      <c r="S39" s="23">
        <v>0</v>
      </c>
    </row>
    <row r="40" spans="2:19">
      <c r="B40" s="25" t="s">
        <v>222</v>
      </c>
      <c r="C40" s="26">
        <v>31</v>
      </c>
      <c r="D40" s="26">
        <v>352700</v>
      </c>
      <c r="E40" s="26">
        <v>342762</v>
      </c>
      <c r="F40" s="26">
        <v>9938</v>
      </c>
      <c r="G40" s="26">
        <v>0</v>
      </c>
      <c r="H40" s="26">
        <v>0</v>
      </c>
      <c r="I40" s="27">
        <v>97592053.64</v>
      </c>
      <c r="J40" s="27">
        <v>95047474.81</v>
      </c>
      <c r="K40" s="27">
        <v>2544578.83</v>
      </c>
      <c r="L40" s="28">
        <v>0.2977</v>
      </c>
      <c r="M40" s="28">
        <v>0.2226</v>
      </c>
      <c r="N40" s="26">
        <v>261242</v>
      </c>
      <c r="O40" s="27">
        <v>83507455.7</v>
      </c>
      <c r="P40" s="27">
        <v>77073642.91</v>
      </c>
      <c r="Q40" s="27">
        <v>2927644657.69</v>
      </c>
      <c r="R40" s="27">
        <v>2310115726.15</v>
      </c>
      <c r="S40" s="26">
        <v>0</v>
      </c>
    </row>
    <row r="41" spans="2:19">
      <c r="B41" t="s">
        <v>223</v>
      </c>
      <c r="C41" s="23">
        <v>32</v>
      </c>
      <c r="D41" s="23">
        <v>354102</v>
      </c>
      <c r="E41" s="23">
        <v>343910</v>
      </c>
      <c r="F41" s="23">
        <v>10192</v>
      </c>
      <c r="G41" s="23">
        <v>0</v>
      </c>
      <c r="H41" s="23">
        <v>0</v>
      </c>
      <c r="I41" s="24">
        <v>97726962.89</v>
      </c>
      <c r="J41" s="24">
        <v>95124063.08</v>
      </c>
      <c r="K41" s="24">
        <v>2602899.81</v>
      </c>
      <c r="L41" s="13">
        <v>0.2968</v>
      </c>
      <c r="M41" s="13">
        <v>0.2256</v>
      </c>
      <c r="N41" s="23">
        <v>266631</v>
      </c>
      <c r="O41" s="24">
        <v>85002685.81999999</v>
      </c>
      <c r="P41" s="24">
        <v>77181570.31</v>
      </c>
      <c r="Q41" s="24">
        <v>3025371620.58</v>
      </c>
      <c r="R41" s="24">
        <v>2387297296.46</v>
      </c>
      <c r="S41" s="23">
        <v>0</v>
      </c>
    </row>
    <row r="42" spans="2:19">
      <c r="B42" s="25" t="s">
        <v>224</v>
      </c>
      <c r="C42" s="26">
        <v>33</v>
      </c>
      <c r="D42" s="26">
        <v>355395</v>
      </c>
      <c r="E42" s="26">
        <v>344965</v>
      </c>
      <c r="F42" s="26">
        <v>10431</v>
      </c>
      <c r="G42" s="26">
        <v>0</v>
      </c>
      <c r="H42" s="26">
        <v>0</v>
      </c>
      <c r="I42" s="27">
        <v>97831113.13</v>
      </c>
      <c r="J42" s="27">
        <v>95173991.59</v>
      </c>
      <c r="K42" s="27">
        <v>2657121.54</v>
      </c>
      <c r="L42" s="28">
        <v>0.296</v>
      </c>
      <c r="M42" s="28">
        <v>0.2285</v>
      </c>
      <c r="N42" s="26">
        <v>271690</v>
      </c>
      <c r="O42" s="27">
        <v>86385230.84999999</v>
      </c>
      <c r="P42" s="27">
        <v>77264890.5</v>
      </c>
      <c r="Q42" s="27">
        <v>3123202733.71</v>
      </c>
      <c r="R42" s="27">
        <v>2464562186.97</v>
      </c>
      <c r="S42" s="26">
        <v>0</v>
      </c>
    </row>
    <row r="43" spans="2:19">
      <c r="B43" t="s">
        <v>225</v>
      </c>
      <c r="C43" s="23">
        <v>34</v>
      </c>
      <c r="D43" s="23">
        <v>356586</v>
      </c>
      <c r="E43" s="23">
        <v>345932</v>
      </c>
      <c r="F43" s="23">
        <v>10654</v>
      </c>
      <c r="G43" s="23">
        <v>0</v>
      </c>
      <c r="H43" s="23">
        <v>0</v>
      </c>
      <c r="I43" s="24">
        <v>97906060.34</v>
      </c>
      <c r="J43" s="24">
        <v>95198815.83</v>
      </c>
      <c r="K43" s="24">
        <v>2707244.51</v>
      </c>
      <c r="L43" s="13">
        <v>0.2953</v>
      </c>
      <c r="M43" s="13">
        <v>0.2311</v>
      </c>
      <c r="N43" s="23">
        <v>276418</v>
      </c>
      <c r="O43" s="24">
        <v>87656147.18000001</v>
      </c>
      <c r="P43" s="24">
        <v>77324848.27</v>
      </c>
      <c r="Q43" s="24">
        <v>3221108794.05</v>
      </c>
      <c r="R43" s="24">
        <v>2541887035.24</v>
      </c>
      <c r="S43" s="23">
        <v>0</v>
      </c>
    </row>
    <row r="44" spans="2:19">
      <c r="B44" s="25" t="s">
        <v>226</v>
      </c>
      <c r="C44" s="26">
        <v>35</v>
      </c>
      <c r="D44" s="26">
        <v>357679</v>
      </c>
      <c r="E44" s="26">
        <v>346816</v>
      </c>
      <c r="F44" s="26">
        <v>10863</v>
      </c>
      <c r="G44" s="26">
        <v>0</v>
      </c>
      <c r="H44" s="26">
        <v>0</v>
      </c>
      <c r="I44" s="27">
        <v>97953468.39</v>
      </c>
      <c r="J44" s="27">
        <v>95200148.65000001</v>
      </c>
      <c r="K44" s="27">
        <v>2753319.74</v>
      </c>
      <c r="L44" s="28">
        <v>0.2946</v>
      </c>
      <c r="M44" s="28">
        <v>0.2336</v>
      </c>
      <c r="N44" s="26">
        <v>280822</v>
      </c>
      <c r="O44" s="27">
        <v>88817694.77</v>
      </c>
      <c r="P44" s="27">
        <v>77362774.70999999</v>
      </c>
      <c r="Q44" s="27">
        <v>3319062262.44</v>
      </c>
      <c r="R44" s="27">
        <v>2619249809.95</v>
      </c>
      <c r="S44" s="26">
        <v>0</v>
      </c>
    </row>
    <row r="45" spans="2:19">
      <c r="B45" t="s">
        <v>227</v>
      </c>
      <c r="C45" s="23">
        <v>36</v>
      </c>
      <c r="D45" s="23">
        <v>358680</v>
      </c>
      <c r="E45" s="23">
        <v>347622</v>
      </c>
      <c r="F45" s="23">
        <v>11057</v>
      </c>
      <c r="G45" s="23">
        <v>0</v>
      </c>
      <c r="H45" s="23">
        <v>0</v>
      </c>
      <c r="I45" s="24">
        <v>97975063.89</v>
      </c>
      <c r="J45" s="24">
        <v>95179622.98</v>
      </c>
      <c r="K45" s="24">
        <v>2795440.91</v>
      </c>
      <c r="L45" s="13">
        <v>0.294</v>
      </c>
      <c r="M45" s="13">
        <v>0.2358</v>
      </c>
      <c r="N45" s="23">
        <v>284907</v>
      </c>
      <c r="O45" s="24">
        <v>89873131.27</v>
      </c>
      <c r="P45" s="24">
        <v>77380051.11</v>
      </c>
      <c r="Q45" s="24">
        <v>3417037326.33</v>
      </c>
      <c r="R45" s="24">
        <v>2696629861.06</v>
      </c>
      <c r="S45" s="23">
        <v>0</v>
      </c>
    </row>
    <row r="46" spans="2:19">
      <c r="B46" s="25" t="s">
        <v>228</v>
      </c>
      <c r="C46" s="26">
        <v>37</v>
      </c>
      <c r="D46" s="26">
        <v>359594</v>
      </c>
      <c r="E46" s="26">
        <v>348356</v>
      </c>
      <c r="F46" s="26">
        <v>11237</v>
      </c>
      <c r="G46" s="26">
        <v>0</v>
      </c>
      <c r="H46" s="26">
        <v>0</v>
      </c>
      <c r="I46" s="27">
        <v>97972597.77</v>
      </c>
      <c r="J46" s="27">
        <v>95138861.23</v>
      </c>
      <c r="K46" s="27">
        <v>2833736.55</v>
      </c>
      <c r="L46" s="28">
        <v>0.2935</v>
      </c>
      <c r="M46" s="28">
        <v>0.2378</v>
      </c>
      <c r="N46" s="26">
        <v>288686</v>
      </c>
      <c r="O46" s="27">
        <v>90826510.69</v>
      </c>
      <c r="P46" s="27">
        <v>77378078.22</v>
      </c>
      <c r="Q46" s="27">
        <v>3515009924.1</v>
      </c>
      <c r="R46" s="27">
        <v>2774007939.28</v>
      </c>
      <c r="S46" s="26">
        <v>0</v>
      </c>
    </row>
    <row r="47" spans="2:19">
      <c r="B47" t="s">
        <v>229</v>
      </c>
      <c r="C47" s="23">
        <v>38</v>
      </c>
      <c r="D47" s="23">
        <v>360427</v>
      </c>
      <c r="E47" s="23">
        <v>349024</v>
      </c>
      <c r="F47" s="23">
        <v>11404</v>
      </c>
      <c r="G47" s="23">
        <v>0</v>
      </c>
      <c r="H47" s="23">
        <v>0</v>
      </c>
      <c r="I47" s="24">
        <v>97947813.41</v>
      </c>
      <c r="J47" s="24">
        <v>95079450.90000001</v>
      </c>
      <c r="K47" s="24">
        <v>2868362.51</v>
      </c>
      <c r="L47" s="13">
        <v>0.293</v>
      </c>
      <c r="M47" s="13">
        <v>0.2398</v>
      </c>
      <c r="N47" s="23">
        <v>292169</v>
      </c>
      <c r="O47" s="24">
        <v>91682493.73</v>
      </c>
      <c r="P47" s="24">
        <v>77358250.73</v>
      </c>
      <c r="Q47" s="24">
        <v>3612957737.51</v>
      </c>
      <c r="R47" s="24">
        <v>2851366190.01</v>
      </c>
      <c r="S47" s="23">
        <v>0</v>
      </c>
    </row>
    <row r="48" spans="2:19">
      <c r="B48" s="25" t="s">
        <v>230</v>
      </c>
      <c r="C48" s="26">
        <v>39</v>
      </c>
      <c r="D48" s="26">
        <v>361186</v>
      </c>
      <c r="E48" s="26">
        <v>349629</v>
      </c>
      <c r="F48" s="26">
        <v>11557</v>
      </c>
      <c r="G48" s="26">
        <v>0</v>
      </c>
      <c r="H48" s="26">
        <v>0</v>
      </c>
      <c r="I48" s="27">
        <v>97902420.93000001</v>
      </c>
      <c r="J48" s="27">
        <v>95002925.92</v>
      </c>
      <c r="K48" s="27">
        <v>2899495</v>
      </c>
      <c r="L48" s="28">
        <v>0.2925</v>
      </c>
      <c r="M48" s="28">
        <v>0.2415</v>
      </c>
      <c r="N48" s="26">
        <v>295372</v>
      </c>
      <c r="O48" s="27">
        <v>92446174.53</v>
      </c>
      <c r="P48" s="27">
        <v>77321936.73999999</v>
      </c>
      <c r="Q48" s="27">
        <v>3710860158.44</v>
      </c>
      <c r="R48" s="27">
        <v>2928688126.75</v>
      </c>
      <c r="S48" s="26">
        <v>0</v>
      </c>
    </row>
    <row r="49" spans="2:19">
      <c r="B49" t="s">
        <v>231</v>
      </c>
      <c r="C49" s="23">
        <v>40</v>
      </c>
      <c r="D49" s="23">
        <v>361875</v>
      </c>
      <c r="E49" s="23">
        <v>350178</v>
      </c>
      <c r="F49" s="23">
        <v>11697</v>
      </c>
      <c r="G49" s="23">
        <v>0</v>
      </c>
      <c r="H49" s="23">
        <v>0</v>
      </c>
      <c r="I49" s="24">
        <v>97838077.20999999</v>
      </c>
      <c r="J49" s="24">
        <v>94910752.90000001</v>
      </c>
      <c r="K49" s="24">
        <v>2927324.32</v>
      </c>
      <c r="L49" s="13">
        <v>0.292</v>
      </c>
      <c r="M49" s="13">
        <v>0.2431</v>
      </c>
      <c r="N49" s="23">
        <v>298309</v>
      </c>
      <c r="O49" s="24">
        <v>93122926.81</v>
      </c>
      <c r="P49" s="24">
        <v>77270461.77</v>
      </c>
      <c r="Q49" s="24">
        <v>3808698235.65</v>
      </c>
      <c r="R49" s="24">
        <v>3005958588.52</v>
      </c>
      <c r="S49" s="23">
        <v>0</v>
      </c>
    </row>
    <row r="50" spans="2:19">
      <c r="B50" s="25" t="s">
        <v>232</v>
      </c>
      <c r="C50" s="26">
        <v>41</v>
      </c>
      <c r="D50" s="26">
        <v>362500</v>
      </c>
      <c r="E50" s="26">
        <v>350674</v>
      </c>
      <c r="F50" s="26">
        <v>11826</v>
      </c>
      <c r="G50" s="26">
        <v>0</v>
      </c>
      <c r="H50" s="26">
        <v>0</v>
      </c>
      <c r="I50" s="27">
        <v>97756370.94</v>
      </c>
      <c r="J50" s="27">
        <v>94804321.59999999</v>
      </c>
      <c r="K50" s="27">
        <v>2952049.33</v>
      </c>
      <c r="L50" s="28">
        <v>0.2916</v>
      </c>
      <c r="M50" s="28">
        <v>0.2446</v>
      </c>
      <c r="N50" s="26">
        <v>300996</v>
      </c>
      <c r="O50" s="27">
        <v>93718270.81999999</v>
      </c>
      <c r="P50" s="27">
        <v>77205096.75</v>
      </c>
      <c r="Q50" s="27">
        <v>3906454606.59</v>
      </c>
      <c r="R50" s="27">
        <v>3083163685.27</v>
      </c>
      <c r="S50" s="26">
        <v>0</v>
      </c>
    </row>
    <row r="51" spans="2:19">
      <c r="B51" t="s">
        <v>233</v>
      </c>
      <c r="C51" s="23">
        <v>42</v>
      </c>
      <c r="D51" s="23">
        <v>363066</v>
      </c>
      <c r="E51" s="23">
        <v>351122</v>
      </c>
      <c r="F51" s="23">
        <v>11944</v>
      </c>
      <c r="G51" s="23">
        <v>0</v>
      </c>
      <c r="H51" s="23">
        <v>0</v>
      </c>
      <c r="I51" s="24">
        <v>97658811.93000001</v>
      </c>
      <c r="J51" s="24">
        <v>94684939.09</v>
      </c>
      <c r="K51" s="24">
        <v>2973872.84</v>
      </c>
      <c r="L51" s="13">
        <v>0.2913</v>
      </c>
      <c r="M51" s="13">
        <v>0.2459</v>
      </c>
      <c r="N51" s="23">
        <v>303450</v>
      </c>
      <c r="O51" s="24">
        <v>94237761.31999999</v>
      </c>
      <c r="P51" s="24">
        <v>77127049.54000001</v>
      </c>
      <c r="Q51" s="24">
        <v>4004113418.52</v>
      </c>
      <c r="R51" s="24">
        <v>3160290734.82</v>
      </c>
      <c r="S51" s="23">
        <v>0</v>
      </c>
    </row>
    <row r="52" spans="2:19">
      <c r="B52" s="25" t="s">
        <v>234</v>
      </c>
      <c r="C52" s="26">
        <v>43</v>
      </c>
      <c r="D52" s="26">
        <v>363578</v>
      </c>
      <c r="E52" s="26">
        <v>351527</v>
      </c>
      <c r="F52" s="26">
        <v>12051</v>
      </c>
      <c r="G52" s="26">
        <v>0</v>
      </c>
      <c r="H52" s="26">
        <v>0</v>
      </c>
      <c r="I52" s="27">
        <v>97546824.22</v>
      </c>
      <c r="J52" s="27">
        <v>94553826.59</v>
      </c>
      <c r="K52" s="27">
        <v>2992997.62</v>
      </c>
      <c r="L52" s="28">
        <v>0.291</v>
      </c>
      <c r="M52" s="28">
        <v>0.247</v>
      </c>
      <c r="N52" s="26">
        <v>305685</v>
      </c>
      <c r="O52" s="27">
        <v>94686895.58</v>
      </c>
      <c r="P52" s="27">
        <v>77037459.38</v>
      </c>
      <c r="Q52" s="27">
        <v>4101660242.74</v>
      </c>
      <c r="R52" s="27">
        <v>3237328194.19</v>
      </c>
      <c r="S52" s="26">
        <v>0</v>
      </c>
    </row>
    <row r="53" spans="2:19">
      <c r="B53" t="s">
        <v>235</v>
      </c>
      <c r="C53" s="23">
        <v>44</v>
      </c>
      <c r="D53" s="23">
        <v>364041</v>
      </c>
      <c r="E53" s="23">
        <v>351893</v>
      </c>
      <c r="F53" s="23">
        <v>12149</v>
      </c>
      <c r="G53" s="23">
        <v>0</v>
      </c>
      <c r="H53" s="23">
        <v>0</v>
      </c>
      <c r="I53" s="24">
        <v>97421742.15000001</v>
      </c>
      <c r="J53" s="24">
        <v>94412118.81999999</v>
      </c>
      <c r="K53" s="24">
        <v>3009623.34</v>
      </c>
      <c r="L53" s="13">
        <v>0.2907</v>
      </c>
      <c r="M53" s="13">
        <v>0.2481</v>
      </c>
      <c r="N53" s="23">
        <v>307718</v>
      </c>
      <c r="O53" s="24">
        <v>95071040.22</v>
      </c>
      <c r="P53" s="24">
        <v>76937393.72</v>
      </c>
      <c r="Q53" s="24">
        <v>4199081984.89</v>
      </c>
      <c r="R53" s="24">
        <v>3314265587.91</v>
      </c>
      <c r="S53" s="23">
        <v>0</v>
      </c>
    </row>
    <row r="54" spans="2:19">
      <c r="B54" s="25" t="s">
        <v>236</v>
      </c>
      <c r="C54" s="26">
        <v>45</v>
      </c>
      <c r="D54" s="26">
        <v>364459</v>
      </c>
      <c r="E54" s="26">
        <v>352222</v>
      </c>
      <c r="F54" s="26">
        <v>12238</v>
      </c>
      <c r="G54" s="26">
        <v>0</v>
      </c>
      <c r="H54" s="26">
        <v>0</v>
      </c>
      <c r="I54" s="27">
        <v>97284808.93000001</v>
      </c>
      <c r="J54" s="27">
        <v>94260864.92</v>
      </c>
      <c r="K54" s="27">
        <v>3023944.01</v>
      </c>
      <c r="L54" s="28">
        <v>0.2904</v>
      </c>
      <c r="M54" s="28">
        <v>0.2491</v>
      </c>
      <c r="N54" s="26">
        <v>309564</v>
      </c>
      <c r="O54" s="27">
        <v>95395374.81</v>
      </c>
      <c r="P54" s="27">
        <v>76827847.14</v>
      </c>
      <c r="Q54" s="27">
        <v>4296366793.82</v>
      </c>
      <c r="R54" s="27">
        <v>3391093435.06</v>
      </c>
      <c r="S54" s="26">
        <v>0</v>
      </c>
    </row>
    <row r="55" spans="2:19">
      <c r="B55" t="s">
        <v>237</v>
      </c>
      <c r="C55" s="23">
        <v>46</v>
      </c>
      <c r="D55" s="23">
        <v>364836</v>
      </c>
      <c r="E55" s="23">
        <v>352518</v>
      </c>
      <c r="F55" s="23">
        <v>12318</v>
      </c>
      <c r="G55" s="23">
        <v>0</v>
      </c>
      <c r="H55" s="23">
        <v>0</v>
      </c>
      <c r="I55" s="24">
        <v>97137177.08</v>
      </c>
      <c r="J55" s="24">
        <v>94101030.91</v>
      </c>
      <c r="K55" s="24">
        <v>3036146.16</v>
      </c>
      <c r="L55" s="13">
        <v>0.2902</v>
      </c>
      <c r="M55" s="13">
        <v>0.25</v>
      </c>
      <c r="N55" s="23">
        <v>311238</v>
      </c>
      <c r="O55" s="24">
        <v>95664850.31</v>
      </c>
      <c r="P55" s="24">
        <v>76709741.66</v>
      </c>
      <c r="Q55" s="24">
        <v>4393503970.9</v>
      </c>
      <c r="R55" s="24">
        <v>3467803176.72</v>
      </c>
      <c r="S55" s="23">
        <v>0</v>
      </c>
    </row>
    <row r="56" spans="2:19">
      <c r="B56" s="25" t="s">
        <v>238</v>
      </c>
      <c r="C56" s="26">
        <v>47</v>
      </c>
      <c r="D56" s="26">
        <v>365176</v>
      </c>
      <c r="E56" s="26">
        <v>352785</v>
      </c>
      <c r="F56" s="26">
        <v>12391</v>
      </c>
      <c r="G56" s="26">
        <v>0</v>
      </c>
      <c r="H56" s="26">
        <v>0</v>
      </c>
      <c r="I56" s="27">
        <v>96979910.44</v>
      </c>
      <c r="J56" s="27">
        <v>93933502.93000001</v>
      </c>
      <c r="K56" s="27">
        <v>3046407.51</v>
      </c>
      <c r="L56" s="28">
        <v>0.29</v>
      </c>
      <c r="M56" s="28">
        <v>0.2508</v>
      </c>
      <c r="N56" s="26">
        <v>312754</v>
      </c>
      <c r="O56" s="27">
        <v>95884160.22</v>
      </c>
      <c r="P56" s="27">
        <v>76583928.34999999</v>
      </c>
      <c r="Q56" s="27">
        <v>4490483881.34</v>
      </c>
      <c r="R56" s="27">
        <v>3544387105.07</v>
      </c>
      <c r="S56" s="26">
        <v>0</v>
      </c>
    </row>
    <row r="57" spans="2:19">
      <c r="B57" t="s">
        <v>239</v>
      </c>
      <c r="C57" s="23">
        <v>48</v>
      </c>
      <c r="D57" s="23">
        <v>365482</v>
      </c>
      <c r="E57" s="23">
        <v>353025</v>
      </c>
      <c r="F57" s="23">
        <v>12457</v>
      </c>
      <c r="G57" s="23">
        <v>0</v>
      </c>
      <c r="H57" s="23">
        <v>0</v>
      </c>
      <c r="I57" s="24">
        <v>96813987.23999999</v>
      </c>
      <c r="J57" s="24">
        <v>93759091.26000001</v>
      </c>
      <c r="K57" s="24">
        <v>3054895.98</v>
      </c>
      <c r="L57" s="13">
        <v>0.2898</v>
      </c>
      <c r="M57" s="13">
        <v>0.2515</v>
      </c>
      <c r="N57" s="23">
        <v>314125</v>
      </c>
      <c r="O57" s="24">
        <v>96057722.39</v>
      </c>
      <c r="P57" s="24">
        <v>76451189.79000001</v>
      </c>
      <c r="Q57" s="24">
        <v>4587297868.58</v>
      </c>
      <c r="R57" s="24">
        <v>3620838294.86</v>
      </c>
      <c r="S57" s="23">
        <v>0</v>
      </c>
    </row>
    <row r="58" spans="2:19">
      <c r="B58" s="25" t="s">
        <v>240</v>
      </c>
      <c r="C58" s="26">
        <v>49</v>
      </c>
      <c r="D58" s="26">
        <v>365758</v>
      </c>
      <c r="E58" s="26">
        <v>353240</v>
      </c>
      <c r="F58" s="26">
        <v>12517</v>
      </c>
      <c r="G58" s="26">
        <v>0</v>
      </c>
      <c r="H58" s="26">
        <v>0</v>
      </c>
      <c r="I58" s="27">
        <v>96640304</v>
      </c>
      <c r="J58" s="27">
        <v>93578534.73</v>
      </c>
      <c r="K58" s="27">
        <v>3061769.27</v>
      </c>
      <c r="L58" s="28">
        <v>0.2897</v>
      </c>
      <c r="M58" s="28">
        <v>0.2521</v>
      </c>
      <c r="N58" s="26">
        <v>315363</v>
      </c>
      <c r="O58" s="27">
        <v>96189669.58</v>
      </c>
      <c r="P58" s="27">
        <v>76312243.2</v>
      </c>
      <c r="Q58" s="27">
        <v>4683938172.58</v>
      </c>
      <c r="R58" s="27">
        <v>3697150538.06</v>
      </c>
      <c r="S58" s="26">
        <v>0</v>
      </c>
    </row>
    <row r="59" spans="2:19">
      <c r="B59" t="s">
        <v>241</v>
      </c>
      <c r="C59" s="23">
        <v>50</v>
      </c>
      <c r="D59" s="23">
        <v>366005</v>
      </c>
      <c r="E59" s="23">
        <v>353434</v>
      </c>
      <c r="F59" s="23">
        <v>12571</v>
      </c>
      <c r="G59" s="23">
        <v>0</v>
      </c>
      <c r="H59" s="23">
        <v>0</v>
      </c>
      <c r="I59" s="24">
        <v>96459679.86</v>
      </c>
      <c r="J59" s="24">
        <v>93392505.34</v>
      </c>
      <c r="K59" s="24">
        <v>3067174.51</v>
      </c>
      <c r="L59" s="13">
        <v>0.2895</v>
      </c>
      <c r="M59" s="13">
        <v>0.2528</v>
      </c>
      <c r="N59" s="23">
        <v>316481</v>
      </c>
      <c r="O59" s="24">
        <v>96283847.14</v>
      </c>
      <c r="P59" s="24">
        <v>76167743.89</v>
      </c>
      <c r="Q59" s="24">
        <v>4780397852.44</v>
      </c>
      <c r="R59" s="24">
        <v>3773318281.95</v>
      </c>
      <c r="S59" s="23">
        <v>0</v>
      </c>
    </row>
    <row r="60" spans="2:19">
      <c r="B60" s="25" t="s">
        <v>242</v>
      </c>
      <c r="C60" s="26">
        <v>51</v>
      </c>
      <c r="D60" s="26">
        <v>366228</v>
      </c>
      <c r="E60" s="26">
        <v>353608</v>
      </c>
      <c r="F60" s="26">
        <v>12620</v>
      </c>
      <c r="G60" s="26">
        <v>0</v>
      </c>
      <c r="H60" s="26">
        <v>0</v>
      </c>
      <c r="I60" s="27">
        <v>96272861.34</v>
      </c>
      <c r="J60" s="27">
        <v>93201612.98999999</v>
      </c>
      <c r="K60" s="27">
        <v>3071248.35</v>
      </c>
      <c r="L60" s="28">
        <v>0.2893</v>
      </c>
      <c r="M60" s="28">
        <v>0.2533</v>
      </c>
      <c r="N60" s="26">
        <v>317489</v>
      </c>
      <c r="O60" s="27">
        <v>96343816.14</v>
      </c>
      <c r="P60" s="27">
        <v>76018289.06999999</v>
      </c>
      <c r="Q60" s="27">
        <v>4876670713.78</v>
      </c>
      <c r="R60" s="27">
        <v>3849336571.02</v>
      </c>
      <c r="S60" s="26">
        <v>0</v>
      </c>
    </row>
    <row r="61" spans="2:19">
      <c r="B61" t="s">
        <v>243</v>
      </c>
      <c r="C61" s="23">
        <v>52</v>
      </c>
      <c r="D61" s="23">
        <v>366428</v>
      </c>
      <c r="E61" s="23">
        <v>353764</v>
      </c>
      <c r="F61" s="23">
        <v>12664</v>
      </c>
      <c r="G61" s="23">
        <v>0</v>
      </c>
      <c r="H61" s="23">
        <v>0</v>
      </c>
      <c r="I61" s="24">
        <v>96080527.18000001</v>
      </c>
      <c r="J61" s="24">
        <v>93006410.09999999</v>
      </c>
      <c r="K61" s="24">
        <v>3074117.08</v>
      </c>
      <c r="L61" s="13">
        <v>0.2892</v>
      </c>
      <c r="M61" s="13">
        <v>0.2538</v>
      </c>
      <c r="N61" s="23">
        <v>318398</v>
      </c>
      <c r="O61" s="24">
        <v>96372860.78</v>
      </c>
      <c r="P61" s="24">
        <v>75864421.73999999</v>
      </c>
      <c r="Q61" s="24">
        <v>4972751240.96</v>
      </c>
      <c r="R61" s="24">
        <v>3925200992.77</v>
      </c>
      <c r="S61" s="23">
        <v>0</v>
      </c>
    </row>
    <row r="62" spans="2:19">
      <c r="B62" s="25" t="s">
        <v>244</v>
      </c>
      <c r="C62" s="26">
        <v>53</v>
      </c>
      <c r="D62" s="26">
        <v>366608</v>
      </c>
      <c r="E62" s="26">
        <v>353905</v>
      </c>
      <c r="F62" s="26">
        <v>12703</v>
      </c>
      <c r="G62" s="26">
        <v>0</v>
      </c>
      <c r="H62" s="26">
        <v>0</v>
      </c>
      <c r="I62" s="27">
        <v>95883293.23999999</v>
      </c>
      <c r="J62" s="27">
        <v>92807396.25</v>
      </c>
      <c r="K62" s="27">
        <v>3075896.99</v>
      </c>
      <c r="L62" s="28">
        <v>0.2891</v>
      </c>
      <c r="M62" s="28">
        <v>0.2542</v>
      </c>
      <c r="N62" s="26">
        <v>319216</v>
      </c>
      <c r="O62" s="27">
        <v>96373998.91</v>
      </c>
      <c r="P62" s="27">
        <v>75706634.59</v>
      </c>
      <c r="Q62" s="27">
        <v>5068634534.2</v>
      </c>
      <c r="R62" s="27">
        <v>4000907627.36</v>
      </c>
      <c r="S62" s="26">
        <v>0</v>
      </c>
    </row>
    <row r="63" spans="2:19">
      <c r="B63" t="s">
        <v>245</v>
      </c>
      <c r="C63" s="23">
        <v>54</v>
      </c>
      <c r="D63" s="23">
        <v>366769</v>
      </c>
      <c r="E63" s="23">
        <v>354030</v>
      </c>
      <c r="F63" s="23">
        <v>12739</v>
      </c>
      <c r="G63" s="23">
        <v>0</v>
      </c>
      <c r="H63" s="23">
        <v>0</v>
      </c>
      <c r="I63" s="24">
        <v>95681717.27</v>
      </c>
      <c r="J63" s="24">
        <v>92605022.47</v>
      </c>
      <c r="K63" s="24">
        <v>3076694.79</v>
      </c>
      <c r="L63" s="13">
        <v>0.289</v>
      </c>
      <c r="M63" s="13">
        <v>0.2545</v>
      </c>
      <c r="N63" s="23">
        <v>319952</v>
      </c>
      <c r="O63" s="24">
        <v>96349994.69</v>
      </c>
      <c r="P63" s="24">
        <v>75545373.81999999</v>
      </c>
      <c r="Q63" s="24">
        <v>5164316251.47</v>
      </c>
      <c r="R63" s="24">
        <v>4076453001.18</v>
      </c>
      <c r="S63" s="23">
        <v>0</v>
      </c>
    </row>
    <row r="64" spans="2:19">
      <c r="B64" s="25" t="s">
        <v>246</v>
      </c>
      <c r="C64" s="26">
        <v>55</v>
      </c>
      <c r="D64" s="26">
        <v>366914</v>
      </c>
      <c r="E64" s="26">
        <v>354143</v>
      </c>
      <c r="F64" s="26">
        <v>12771</v>
      </c>
      <c r="G64" s="26">
        <v>0</v>
      </c>
      <c r="H64" s="26">
        <v>0</v>
      </c>
      <c r="I64" s="27">
        <v>95476303.56999999</v>
      </c>
      <c r="J64" s="27">
        <v>92399695.48</v>
      </c>
      <c r="K64" s="27">
        <v>3076608.09</v>
      </c>
      <c r="L64" s="28">
        <v>0.2889</v>
      </c>
      <c r="M64" s="28">
        <v>0.255</v>
      </c>
      <c r="N64" s="26">
        <v>320614</v>
      </c>
      <c r="O64" s="27">
        <v>96303372.75</v>
      </c>
      <c r="P64" s="27">
        <v>75381042.86</v>
      </c>
      <c r="Q64" s="27">
        <v>5259792555.04</v>
      </c>
      <c r="R64" s="27">
        <v>4151834044.03</v>
      </c>
      <c r="S64" s="26">
        <v>0</v>
      </c>
    </row>
    <row r="65" spans="2:19">
      <c r="B65" t="s">
        <v>247</v>
      </c>
      <c r="C65" s="23">
        <v>56</v>
      </c>
      <c r="D65" s="23">
        <v>367044</v>
      </c>
      <c r="E65" s="23">
        <v>354244</v>
      </c>
      <c r="F65" s="23">
        <v>12800</v>
      </c>
      <c r="G65" s="23">
        <v>0</v>
      </c>
      <c r="H65" s="23">
        <v>0</v>
      </c>
      <c r="I65" s="24">
        <v>95267507.47</v>
      </c>
      <c r="J65" s="24">
        <v>92191781.54000001</v>
      </c>
      <c r="K65" s="24">
        <v>3075725.93</v>
      </c>
      <c r="L65" s="13">
        <v>0.2888</v>
      </c>
      <c r="M65" s="13">
        <v>0.2552</v>
      </c>
      <c r="N65" s="23">
        <v>321209</v>
      </c>
      <c r="O65" s="24">
        <v>96236433.12</v>
      </c>
      <c r="P65" s="24">
        <v>75214005.98</v>
      </c>
      <c r="Q65" s="24">
        <v>5355060062.51</v>
      </c>
      <c r="R65" s="24">
        <v>4227048050.01</v>
      </c>
      <c r="S65" s="23">
        <v>0</v>
      </c>
    </row>
    <row r="66" spans="2:19">
      <c r="B66" s="25" t="s">
        <v>248</v>
      </c>
      <c r="C66" s="26">
        <v>57</v>
      </c>
      <c r="D66" s="26">
        <v>367161</v>
      </c>
      <c r="E66" s="26">
        <v>354335</v>
      </c>
      <c r="F66" s="26">
        <v>12826</v>
      </c>
      <c r="G66" s="26">
        <v>0</v>
      </c>
      <c r="H66" s="26">
        <v>0</v>
      </c>
      <c r="I66" s="27">
        <v>95055739.51000001</v>
      </c>
      <c r="J66" s="27">
        <v>91981610.17</v>
      </c>
      <c r="K66" s="27">
        <v>3074129.34</v>
      </c>
      <c r="L66" s="28">
        <v>0.2888</v>
      </c>
      <c r="M66" s="28">
        <v>0.2555</v>
      </c>
      <c r="N66" s="26">
        <v>321744</v>
      </c>
      <c r="O66" s="27">
        <v>96151266.54000001</v>
      </c>
      <c r="P66" s="27">
        <v>75044591.61</v>
      </c>
      <c r="Q66" s="27">
        <v>5450115802.02</v>
      </c>
      <c r="R66" s="27">
        <v>4302092641.62</v>
      </c>
      <c r="S66" s="26">
        <v>0</v>
      </c>
    </row>
    <row r="67" spans="2:19">
      <c r="B67" t="s">
        <v>249</v>
      </c>
      <c r="C67" s="23">
        <v>58</v>
      </c>
      <c r="D67" s="23">
        <v>367265</v>
      </c>
      <c r="E67" s="23">
        <v>354416</v>
      </c>
      <c r="F67" s="23">
        <v>12849</v>
      </c>
      <c r="G67" s="23">
        <v>0</v>
      </c>
      <c r="H67" s="23">
        <v>0</v>
      </c>
      <c r="I67" s="24">
        <v>94841369.47</v>
      </c>
      <c r="J67" s="24">
        <v>91769477.53</v>
      </c>
      <c r="K67" s="24">
        <v>3071891.94</v>
      </c>
      <c r="L67" s="13">
        <v>0.2887</v>
      </c>
      <c r="M67" s="13">
        <v>0.2557</v>
      </c>
      <c r="N67" s="23">
        <v>322224</v>
      </c>
      <c r="O67" s="24">
        <v>96049769.70999999</v>
      </c>
      <c r="P67" s="24">
        <v>74873095.58</v>
      </c>
      <c r="Q67" s="24">
        <v>5544957171.49</v>
      </c>
      <c r="R67" s="24">
        <v>4376965737.19</v>
      </c>
      <c r="S67" s="23">
        <v>0</v>
      </c>
    </row>
    <row r="68" spans="2:19">
      <c r="B68" s="25" t="s">
        <v>250</v>
      </c>
      <c r="C68" s="26">
        <v>59</v>
      </c>
      <c r="D68" s="26">
        <v>367359</v>
      </c>
      <c r="E68" s="26">
        <v>354489</v>
      </c>
      <c r="F68" s="26">
        <v>12870</v>
      </c>
      <c r="G68" s="26">
        <v>0</v>
      </c>
      <c r="H68" s="26">
        <v>0</v>
      </c>
      <c r="I68" s="27">
        <v>94624729.98</v>
      </c>
      <c r="J68" s="27">
        <v>91555649.56</v>
      </c>
      <c r="K68" s="27">
        <v>3069080.42</v>
      </c>
      <c r="L68" s="28">
        <v>0.2886</v>
      </c>
      <c r="M68" s="28">
        <v>0.256</v>
      </c>
      <c r="N68" s="26">
        <v>322655</v>
      </c>
      <c r="O68" s="27">
        <v>95933660.27</v>
      </c>
      <c r="P68" s="27">
        <v>74699783.98</v>
      </c>
      <c r="Q68" s="27">
        <v>5639581901.47</v>
      </c>
      <c r="R68" s="27">
        <v>4451665521.18</v>
      </c>
      <c r="S68" s="26">
        <v>0</v>
      </c>
    </row>
  </sheetData>
  <mergeCells count="11">
    <mergeCell ref="B2:O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366F1"/>
  </sheetPr>
  <dimension ref="B2:E30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5" width="22.7109375" customWidth="1"/>
  </cols>
  <sheetData>
    <row r="2" spans="2:5">
      <c r="B2" s="1" t="s">
        <v>252</v>
      </c>
      <c r="C2" s="1"/>
      <c r="D2" s="1"/>
      <c r="E2" s="1"/>
    </row>
    <row r="4" spans="2:5">
      <c r="B4" s="3" t="s">
        <v>253</v>
      </c>
      <c r="C4" s="3"/>
      <c r="D4" s="3"/>
    </row>
    <row r="5" spans="2:5">
      <c r="B5" s="10"/>
      <c r="C5" s="22" t="s">
        <v>254</v>
      </c>
      <c r="D5" s="30" t="s">
        <v>255</v>
      </c>
    </row>
    <row r="6" spans="2:5">
      <c r="B6" s="4" t="s">
        <v>167</v>
      </c>
      <c r="C6" s="24">
        <v>412112810.41</v>
      </c>
      <c r="D6" s="24">
        <v>1042914826.67</v>
      </c>
    </row>
    <row r="7" spans="2:5">
      <c r="B7" s="4" t="s">
        <v>256</v>
      </c>
      <c r="C7" s="24">
        <v>4319672663.48</v>
      </c>
      <c r="D7" s="24">
        <v>5639581901.47</v>
      </c>
    </row>
    <row r="8" spans="2:5">
      <c r="B8" s="4" t="s">
        <v>257</v>
      </c>
      <c r="C8" s="24">
        <v>3395738130.78</v>
      </c>
      <c r="D8" s="24">
        <v>4451665521.16</v>
      </c>
    </row>
    <row r="9" spans="2:5">
      <c r="B9" s="4" t="s">
        <v>258</v>
      </c>
      <c r="C9" s="13">
        <v>0.256</v>
      </c>
      <c r="D9" s="13">
        <v>0.3358</v>
      </c>
    </row>
    <row r="10" spans="2:5">
      <c r="B10" s="4" t="s">
        <v>169</v>
      </c>
      <c r="C10" s="23">
        <v>322655</v>
      </c>
      <c r="D10" s="23">
        <v>367359</v>
      </c>
    </row>
    <row r="11" spans="2:5">
      <c r="B11" s="4" t="s">
        <v>259</v>
      </c>
      <c r="C11" s="13">
        <v>0.132</v>
      </c>
      <c r="D11" s="13">
        <v>0.3242</v>
      </c>
    </row>
    <row r="12" spans="2:5">
      <c r="B12" s="4" t="s">
        <v>260</v>
      </c>
      <c r="C12" s="13">
        <v>0.2336</v>
      </c>
      <c r="D12" s="13">
        <v>0.2946</v>
      </c>
    </row>
    <row r="13" spans="2:5">
      <c r="B13" s="4" t="s">
        <v>261</v>
      </c>
      <c r="C13" s="24">
        <v>316.28</v>
      </c>
      <c r="D13" s="24">
        <v>277.14</v>
      </c>
    </row>
    <row r="16" spans="2:5">
      <c r="B16" s="3" t="s">
        <v>262</v>
      </c>
      <c r="C16" s="3"/>
      <c r="D16" s="3"/>
    </row>
    <row r="17" spans="2:5">
      <c r="B17" s="10" t="s">
        <v>93</v>
      </c>
      <c r="C17" s="22" t="s">
        <v>254</v>
      </c>
      <c r="D17" s="30" t="s">
        <v>255</v>
      </c>
    </row>
    <row r="18" spans="2:5">
      <c r="B18" s="4" t="s">
        <v>98</v>
      </c>
      <c r="C18" s="24">
        <v>4023453747.65</v>
      </c>
      <c r="D18" s="24">
        <v>5510783499.23</v>
      </c>
    </row>
    <row r="19" spans="2:5">
      <c r="B19" s="4" t="s">
        <v>109</v>
      </c>
      <c r="C19" s="24">
        <v>296218915.77</v>
      </c>
      <c r="D19" s="24">
        <v>128798402.26</v>
      </c>
    </row>
    <row r="20" spans="2:5">
      <c r="B20" s="4" t="s">
        <v>263</v>
      </c>
      <c r="C20" s="24">
        <v>0</v>
      </c>
      <c r="D20" s="24">
        <v>0</v>
      </c>
    </row>
    <row r="21" spans="2:5">
      <c r="B21" s="4" t="s">
        <v>264</v>
      </c>
      <c r="C21" s="24">
        <v>0</v>
      </c>
      <c r="D21" s="24">
        <v>0</v>
      </c>
    </row>
    <row r="24" spans="2:5">
      <c r="B24" s="3" t="s">
        <v>265</v>
      </c>
      <c r="C24" s="3"/>
      <c r="D24" s="3"/>
      <c r="E24" s="3"/>
    </row>
    <row r="25" spans="2:5">
      <c r="C25" s="10" t="s">
        <v>77</v>
      </c>
      <c r="D25" s="22" t="s">
        <v>78</v>
      </c>
      <c r="E25" s="30" t="s">
        <v>79</v>
      </c>
    </row>
    <row r="26" spans="2:5">
      <c r="B26" s="4" t="s">
        <v>167</v>
      </c>
      <c r="C26" s="24">
        <v>412112810.41</v>
      </c>
      <c r="D26" s="24">
        <v>571254216.9400001</v>
      </c>
      <c r="E26" s="24">
        <v>327460822.66</v>
      </c>
    </row>
    <row r="27" spans="2:5">
      <c r="B27" s="4" t="s">
        <v>256</v>
      </c>
      <c r="C27" s="24">
        <v>4319672663.48</v>
      </c>
      <c r="D27" s="24">
        <v>7506938955.78</v>
      </c>
      <c r="E27" s="24">
        <v>2611611253.56</v>
      </c>
    </row>
    <row r="28" spans="2:5">
      <c r="B28" s="4" t="s">
        <v>257</v>
      </c>
      <c r="C28" s="24">
        <v>3395738130.78</v>
      </c>
      <c r="D28" s="24">
        <v>5945551164.63</v>
      </c>
      <c r="E28" s="24">
        <v>2029289002.85</v>
      </c>
    </row>
    <row r="29" spans="2:5">
      <c r="B29" s="4" t="s">
        <v>258</v>
      </c>
      <c r="C29" s="13">
        <v>0.256</v>
      </c>
      <c r="D29" s="13">
        <v>0.3631</v>
      </c>
      <c r="E29" s="13">
        <v>0.1498</v>
      </c>
    </row>
    <row r="30" spans="2:5">
      <c r="B30" s="4" t="s">
        <v>169</v>
      </c>
      <c r="C30" s="23">
        <v>322655</v>
      </c>
      <c r="D30" s="23">
        <v>557992</v>
      </c>
      <c r="E30" s="23">
        <v>189043</v>
      </c>
    </row>
  </sheetData>
  <mergeCells count="4">
    <mergeCell ref="B2:E2"/>
    <mergeCell ref="B4:D4"/>
    <mergeCell ref="B16:D16"/>
    <mergeCell ref="B24:E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366F1"/>
  </sheetPr>
  <dimension ref="B2:E68"/>
  <sheetViews>
    <sheetView showGridLines="0" workbookViewId="0"/>
  </sheetViews>
  <sheetFormatPr defaultRowHeight="15"/>
  <cols>
    <col min="1" max="1" width="3.7109375" customWidth="1"/>
    <col min="2" max="2" width="34.7109375" customWidth="1"/>
    <col min="3" max="3" width="24.7109375" customWidth="1"/>
    <col min="4" max="4" width="52.7109375" customWidth="1"/>
    <col min="5" max="5" width="42.7109375" customWidth="1"/>
  </cols>
  <sheetData>
    <row r="2" spans="2:5">
      <c r="B2" s="1" t="s">
        <v>266</v>
      </c>
      <c r="C2" s="1"/>
      <c r="D2" s="1"/>
      <c r="E2" s="1"/>
    </row>
    <row r="3" spans="2:5">
      <c r="B3" s="2" t="s">
        <v>267</v>
      </c>
      <c r="C3" s="2"/>
      <c r="D3" s="2"/>
      <c r="E3" s="2"/>
    </row>
    <row r="5" spans="2:5">
      <c r="B5" s="4" t="s">
        <v>268</v>
      </c>
      <c r="C5" s="15" t="s">
        <v>269</v>
      </c>
      <c r="D5" s="12" t="s">
        <v>270</v>
      </c>
    </row>
    <row r="6" spans="2:5">
      <c r="C6" s="17" t="s">
        <v>271</v>
      </c>
      <c r="D6" s="12" t="s">
        <v>272</v>
      </c>
    </row>
    <row r="7" spans="2:5">
      <c r="C7" s="16" t="s">
        <v>273</v>
      </c>
      <c r="D7" s="12" t="s">
        <v>274</v>
      </c>
    </row>
    <row r="8" spans="2:5">
      <c r="C8" s="31" t="s">
        <v>275</v>
      </c>
      <c r="D8" s="12" t="s">
        <v>276</v>
      </c>
    </row>
    <row r="10" spans="2:5">
      <c r="B10" s="3" t="s">
        <v>277</v>
      </c>
      <c r="C10" s="3"/>
      <c r="D10" s="3"/>
      <c r="E10" s="3"/>
    </row>
    <row r="11" spans="2:5" ht="60" customHeight="1">
      <c r="B11" s="32" t="s">
        <v>278</v>
      </c>
      <c r="C11" s="32"/>
      <c r="D11" s="32"/>
      <c r="E11" s="32"/>
    </row>
    <row r="13" spans="2:5">
      <c r="B13" s="3" t="s">
        <v>279</v>
      </c>
      <c r="C13" s="3"/>
      <c r="D13" s="3"/>
      <c r="E13" s="3"/>
    </row>
    <row r="14" spans="2:5">
      <c r="B14" s="10" t="s">
        <v>280</v>
      </c>
      <c r="C14" s="10" t="s">
        <v>281</v>
      </c>
      <c r="D14" s="10" t="s">
        <v>282</v>
      </c>
      <c r="E14" s="10" t="s">
        <v>283</v>
      </c>
    </row>
    <row r="15" spans="2:5" ht="40" customHeight="1">
      <c r="B15" s="4" t="s">
        <v>284</v>
      </c>
      <c r="C15" s="16" t="s">
        <v>285</v>
      </c>
      <c r="D15" s="12" t="s">
        <v>286</v>
      </c>
      <c r="E15" s="16" t="s">
        <v>273</v>
      </c>
    </row>
    <row r="16" spans="2:5" ht="40" customHeight="1">
      <c r="B16" s="4" t="s">
        <v>287</v>
      </c>
      <c r="C16" s="16" t="s">
        <v>288</v>
      </c>
      <c r="D16" s="12" t="s">
        <v>289</v>
      </c>
      <c r="E16" s="16" t="s">
        <v>273</v>
      </c>
    </row>
    <row r="17" spans="2:5" ht="40" customHeight="1">
      <c r="B17" s="4" t="s">
        <v>290</v>
      </c>
      <c r="C17" s="16" t="s">
        <v>291</v>
      </c>
      <c r="D17" s="12" t="s">
        <v>292</v>
      </c>
      <c r="E17" s="16" t="s">
        <v>273</v>
      </c>
    </row>
    <row r="18" spans="2:5" ht="40" customHeight="1">
      <c r="B18" s="4" t="s">
        <v>293</v>
      </c>
      <c r="C18" s="16" t="s">
        <v>294</v>
      </c>
      <c r="D18" s="12" t="s">
        <v>295</v>
      </c>
      <c r="E18" s="16" t="s">
        <v>273</v>
      </c>
    </row>
    <row r="19" spans="2:5" ht="40" customHeight="1">
      <c r="B19" s="4" t="s">
        <v>296</v>
      </c>
      <c r="C19" s="16" t="s">
        <v>297</v>
      </c>
      <c r="D19" s="12" t="s">
        <v>298</v>
      </c>
      <c r="E19" s="16" t="s">
        <v>273</v>
      </c>
    </row>
    <row r="20" spans="2:5" ht="40" customHeight="1">
      <c r="B20" s="4" t="s">
        <v>299</v>
      </c>
      <c r="C20" s="16" t="s">
        <v>300</v>
      </c>
      <c r="D20" s="12" t="s">
        <v>301</v>
      </c>
      <c r="E20" s="16" t="s">
        <v>273</v>
      </c>
    </row>
    <row r="22" spans="2:5">
      <c r="B22" s="3" t="s">
        <v>302</v>
      </c>
      <c r="C22" s="3"/>
      <c r="D22" s="3"/>
      <c r="E22" s="3"/>
    </row>
    <row r="23" spans="2:5">
      <c r="B23" s="10" t="s">
        <v>303</v>
      </c>
      <c r="C23" s="10" t="s">
        <v>304</v>
      </c>
      <c r="D23" s="10" t="s">
        <v>305</v>
      </c>
      <c r="E23" s="10" t="s">
        <v>283</v>
      </c>
    </row>
    <row r="24" spans="2:5">
      <c r="B24" s="4" t="s">
        <v>306</v>
      </c>
      <c r="C24" s="15" t="s">
        <v>307</v>
      </c>
      <c r="D24" s="12" t="s">
        <v>308</v>
      </c>
      <c r="E24" s="15" t="s">
        <v>269</v>
      </c>
    </row>
    <row r="25" spans="2:5">
      <c r="B25" s="4" t="s">
        <v>309</v>
      </c>
      <c r="C25" s="15" t="s">
        <v>310</v>
      </c>
      <c r="D25" s="12" t="s">
        <v>311</v>
      </c>
      <c r="E25" s="15" t="s">
        <v>269</v>
      </c>
    </row>
    <row r="26" spans="2:5">
      <c r="B26" s="4" t="s">
        <v>312</v>
      </c>
      <c r="C26" s="15" t="s">
        <v>313</v>
      </c>
      <c r="D26" s="12" t="s">
        <v>314</v>
      </c>
      <c r="E26" s="15" t="s">
        <v>269</v>
      </c>
    </row>
    <row r="27" spans="2:5">
      <c r="B27" s="4" t="s">
        <v>315</v>
      </c>
      <c r="C27" s="15" t="s">
        <v>316</v>
      </c>
      <c r="D27" s="12" t="s">
        <v>317</v>
      </c>
      <c r="E27" s="15" t="s">
        <v>269</v>
      </c>
    </row>
    <row r="28" spans="2:5">
      <c r="B28" s="4" t="s">
        <v>318</v>
      </c>
      <c r="C28" s="15" t="s">
        <v>319</v>
      </c>
      <c r="D28" s="12" t="s">
        <v>317</v>
      </c>
      <c r="E28" s="15" t="s">
        <v>269</v>
      </c>
    </row>
    <row r="29" spans="2:5">
      <c r="B29" s="4" t="s">
        <v>320</v>
      </c>
      <c r="C29" s="15" t="s">
        <v>321</v>
      </c>
      <c r="D29" s="12" t="s">
        <v>322</v>
      </c>
      <c r="E29" s="15" t="s">
        <v>269</v>
      </c>
    </row>
    <row r="30" spans="2:5">
      <c r="B30" s="4" t="s">
        <v>323</v>
      </c>
      <c r="C30" s="15" t="s">
        <v>324</v>
      </c>
      <c r="D30" s="12" t="s">
        <v>325</v>
      </c>
      <c r="E30" s="15" t="s">
        <v>269</v>
      </c>
    </row>
    <row r="31" spans="2:5">
      <c r="B31" s="4" t="s">
        <v>326</v>
      </c>
      <c r="C31" s="15" t="s">
        <v>327</v>
      </c>
      <c r="D31" s="12" t="s">
        <v>328</v>
      </c>
      <c r="E31" s="15" t="s">
        <v>269</v>
      </c>
    </row>
    <row r="32" spans="2:5">
      <c r="B32" s="4" t="s">
        <v>329</v>
      </c>
      <c r="C32" s="15" t="s">
        <v>330</v>
      </c>
      <c r="D32" s="12" t="s">
        <v>331</v>
      </c>
      <c r="E32" s="15" t="s">
        <v>269</v>
      </c>
    </row>
    <row r="34" spans="2:5">
      <c r="B34" s="3" t="s">
        <v>332</v>
      </c>
      <c r="C34" s="3"/>
      <c r="D34" s="3"/>
      <c r="E34" s="3"/>
    </row>
    <row r="35" spans="2:5">
      <c r="B35" s="10" t="s">
        <v>76</v>
      </c>
      <c r="C35" s="10" t="s">
        <v>333</v>
      </c>
      <c r="D35" s="10" t="s">
        <v>334</v>
      </c>
      <c r="E35" s="10" t="s">
        <v>283</v>
      </c>
    </row>
    <row r="36" spans="2:5">
      <c r="B36" s="4" t="s">
        <v>335</v>
      </c>
      <c r="C36" s="17" t="s">
        <v>336</v>
      </c>
      <c r="D36" s="12" t="s">
        <v>337</v>
      </c>
      <c r="E36" s="17" t="s">
        <v>271</v>
      </c>
    </row>
    <row r="37" spans="2:5">
      <c r="B37" s="4" t="s">
        <v>338</v>
      </c>
      <c r="C37" s="17" t="s">
        <v>339</v>
      </c>
      <c r="D37" s="12" t="s">
        <v>340</v>
      </c>
      <c r="E37" s="17" t="s">
        <v>271</v>
      </c>
    </row>
    <row r="38" spans="2:5">
      <c r="B38" s="4" t="s">
        <v>341</v>
      </c>
      <c r="C38" s="17" t="s">
        <v>342</v>
      </c>
      <c r="D38" s="12" t="s">
        <v>343</v>
      </c>
      <c r="E38" s="17" t="s">
        <v>271</v>
      </c>
    </row>
    <row r="39" spans="2:5">
      <c r="B39" s="4" t="s">
        <v>344</v>
      </c>
      <c r="C39" s="17" t="s">
        <v>345</v>
      </c>
      <c r="D39" s="12" t="s">
        <v>346</v>
      </c>
      <c r="E39" s="17" t="s">
        <v>271</v>
      </c>
    </row>
    <row r="40" spans="2:5">
      <c r="B40" s="4" t="s">
        <v>347</v>
      </c>
      <c r="C40" s="17" t="s">
        <v>348</v>
      </c>
      <c r="D40" s="12" t="s">
        <v>39</v>
      </c>
      <c r="E40" s="17" t="s">
        <v>271</v>
      </c>
    </row>
    <row r="41" spans="2:5">
      <c r="B41" s="4" t="s">
        <v>349</v>
      </c>
      <c r="C41" s="17" t="s">
        <v>350</v>
      </c>
      <c r="D41" s="12" t="s">
        <v>351</v>
      </c>
      <c r="E41" s="17" t="s">
        <v>271</v>
      </c>
    </row>
    <row r="42" spans="2:5">
      <c r="B42" s="4" t="s">
        <v>352</v>
      </c>
      <c r="C42" s="17" t="s">
        <v>353</v>
      </c>
      <c r="D42" s="12" t="s">
        <v>354</v>
      </c>
      <c r="E42" s="17" t="s">
        <v>271</v>
      </c>
    </row>
    <row r="43" spans="2:5">
      <c r="B43" s="4" t="s">
        <v>71</v>
      </c>
      <c r="C43" s="17" t="s">
        <v>355</v>
      </c>
      <c r="D43" s="12" t="s">
        <v>356</v>
      </c>
      <c r="E43" s="17" t="s">
        <v>271</v>
      </c>
    </row>
    <row r="44" spans="2:5">
      <c r="B44" s="4" t="s">
        <v>357</v>
      </c>
      <c r="C44" s="17" t="s">
        <v>358</v>
      </c>
      <c r="D44" s="12" t="s">
        <v>359</v>
      </c>
      <c r="E44" s="17" t="s">
        <v>271</v>
      </c>
    </row>
    <row r="46" spans="2:5">
      <c r="B46" s="3" t="s">
        <v>360</v>
      </c>
      <c r="C46" s="3"/>
      <c r="D46" s="3"/>
      <c r="E46" s="3"/>
    </row>
    <row r="47" spans="2:5">
      <c r="B47" s="10" t="s">
        <v>361</v>
      </c>
      <c r="C47" s="10" t="s">
        <v>362</v>
      </c>
      <c r="D47" s="10" t="s">
        <v>363</v>
      </c>
      <c r="E47" s="10" t="s">
        <v>283</v>
      </c>
    </row>
    <row r="48" spans="2:5">
      <c r="B48" s="4" t="s">
        <v>364</v>
      </c>
      <c r="C48" s="31" t="s">
        <v>365</v>
      </c>
      <c r="D48" s="12" t="s">
        <v>366</v>
      </c>
      <c r="E48" s="31" t="s">
        <v>275</v>
      </c>
    </row>
    <row r="49" spans="2:5">
      <c r="B49" s="4" t="s">
        <v>367</v>
      </c>
      <c r="C49" s="31" t="s">
        <v>368</v>
      </c>
      <c r="D49" s="12" t="s">
        <v>369</v>
      </c>
      <c r="E49" s="31" t="s">
        <v>275</v>
      </c>
    </row>
    <row r="50" spans="2:5">
      <c r="B50" s="4" t="s">
        <v>370</v>
      </c>
      <c r="C50" s="31" t="s">
        <v>371</v>
      </c>
      <c r="D50" s="12" t="s">
        <v>372</v>
      </c>
      <c r="E50" s="31" t="s">
        <v>275</v>
      </c>
    </row>
    <row r="51" spans="2:5">
      <c r="B51" s="4" t="s">
        <v>373</v>
      </c>
      <c r="C51" s="31" t="s">
        <v>374</v>
      </c>
      <c r="D51" s="12" t="s">
        <v>375</v>
      </c>
      <c r="E51" s="31" t="s">
        <v>275</v>
      </c>
    </row>
    <row r="52" spans="2:5">
      <c r="B52" s="4" t="s">
        <v>376</v>
      </c>
      <c r="C52" s="31" t="s">
        <v>377</v>
      </c>
      <c r="D52" s="12" t="s">
        <v>378</v>
      </c>
      <c r="E52" s="31" t="s">
        <v>275</v>
      </c>
    </row>
    <row r="53" spans="2:5">
      <c r="B53" s="4" t="s">
        <v>379</v>
      </c>
      <c r="C53" s="31" t="s">
        <v>380</v>
      </c>
      <c r="D53" s="12" t="s">
        <v>381</v>
      </c>
      <c r="E53" s="31" t="s">
        <v>275</v>
      </c>
    </row>
    <row r="56" spans="2:5">
      <c r="B56" s="3" t="s">
        <v>382</v>
      </c>
      <c r="C56" s="3"/>
      <c r="D56" s="3"/>
      <c r="E56" s="3"/>
    </row>
    <row r="57" spans="2:5">
      <c r="B57" s="10" t="s">
        <v>113</v>
      </c>
      <c r="C57" s="10" t="s">
        <v>383</v>
      </c>
      <c r="D57" s="10" t="s">
        <v>384</v>
      </c>
    </row>
    <row r="58" spans="2:5">
      <c r="B58" s="4" t="s">
        <v>385</v>
      </c>
      <c r="C58" s="12" t="s">
        <v>386</v>
      </c>
      <c r="D58" s="12" t="s">
        <v>387</v>
      </c>
    </row>
    <row r="59" spans="2:5">
      <c r="B59" s="4" t="s">
        <v>388</v>
      </c>
      <c r="C59" s="12" t="s">
        <v>389</v>
      </c>
      <c r="D59" s="12" t="s">
        <v>390</v>
      </c>
    </row>
    <row r="60" spans="2:5">
      <c r="B60" s="4" t="s">
        <v>391</v>
      </c>
      <c r="C60" s="12" t="s">
        <v>392</v>
      </c>
      <c r="D60" s="12" t="s">
        <v>393</v>
      </c>
    </row>
    <row r="61" spans="2:5">
      <c r="B61" s="4" t="s">
        <v>394</v>
      </c>
      <c r="C61" s="12" t="s">
        <v>395</v>
      </c>
      <c r="D61" s="12" t="s">
        <v>396</v>
      </c>
    </row>
    <row r="62" spans="2:5">
      <c r="B62" s="4" t="s">
        <v>397</v>
      </c>
      <c r="C62" s="12" t="s">
        <v>398</v>
      </c>
      <c r="D62" s="12" t="s">
        <v>399</v>
      </c>
    </row>
    <row r="63" spans="2:5">
      <c r="B63" s="4" t="s">
        <v>400</v>
      </c>
      <c r="C63" s="12" t="s">
        <v>401</v>
      </c>
      <c r="D63" s="12" t="s">
        <v>402</v>
      </c>
    </row>
    <row r="64" spans="2:5">
      <c r="B64" s="4" t="s">
        <v>403</v>
      </c>
      <c r="C64" s="12" t="s">
        <v>404</v>
      </c>
      <c r="D64" s="12" t="s">
        <v>405</v>
      </c>
    </row>
    <row r="65" spans="2:5">
      <c r="B65" s="4" t="s">
        <v>406</v>
      </c>
      <c r="C65" s="12" t="s">
        <v>407</v>
      </c>
      <c r="D65" s="12" t="s">
        <v>408</v>
      </c>
    </row>
    <row r="68" spans="2:5">
      <c r="B68" s="6" t="s">
        <v>409</v>
      </c>
      <c r="C68" s="6"/>
      <c r="D68" s="6"/>
      <c r="E68" s="6"/>
    </row>
  </sheetData>
  <mergeCells count="10">
    <mergeCell ref="B2:E2"/>
    <mergeCell ref="B3:E3"/>
    <mergeCell ref="B10:E10"/>
    <mergeCell ref="B11:E11"/>
    <mergeCell ref="B13:E13"/>
    <mergeCell ref="B22:E22"/>
    <mergeCell ref="B34:E34"/>
    <mergeCell ref="B46:E46"/>
    <mergeCell ref="B56:E56"/>
    <mergeCell ref="B68:E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Marktdaten</vt:lpstr>
      <vt:lpstr>Lilly Forecast</vt:lpstr>
      <vt:lpstr>Novo Forecast</vt:lpstr>
      <vt:lpstr>Dashboard</vt:lpstr>
      <vt:lpstr>Methodik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2026-02-16T22:49:12Z</dcterms:created>
  <dcterms:modified xsi:type="dcterms:W3CDTF">2026-02-16T22:49:12Z</dcterms:modified>
</cp:coreProperties>
</file>