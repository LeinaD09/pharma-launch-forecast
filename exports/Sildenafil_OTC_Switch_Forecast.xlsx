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Marktdaten" sheetId="2" r:id="rId2"/>
    <sheet name="Apothekenverteilung" sheetId="3" r:id="rId3"/>
    <sheet name="Forecast" sheetId="4" r:id="rId4"/>
    <sheet name="Dashboard" sheetId="5" r:id="rId5"/>
    <sheet name="Methodik" sheetId="6" r:id="rId6"/>
  </sheets>
  <calcPr calcId="124519" fullCalcOnLoad="1"/>
</workbook>
</file>

<file path=xl/sharedStrings.xml><?xml version="1.0" encoding="utf-8"?>
<sst xmlns="http://schemas.openxmlformats.org/spreadsheetml/2006/main" count="345" uniqueCount="291">
  <si>
    <t>Sildenafil Rx-to-OTC Switch - Forecast Modell</t>
  </si>
  <si>
    <t>Viatris / Viagra Connect 50mg | Referenz: UK OTC Launch 2018</t>
  </si>
  <si>
    <t>1. PRODUKT &amp; EPIDEMIOLOGIE</t>
  </si>
  <si>
    <t>Produkt</t>
  </si>
  <si>
    <t>Viagra Connect 50mg</t>
  </si>
  <si>
    <t>Viatris-Marke fuer OTC</t>
  </si>
  <si>
    <t>Molekuel</t>
  </si>
  <si>
    <t>Sildenafil</t>
  </si>
  <si>
    <t>PDE5-Hemmer</t>
  </si>
  <si>
    <t>Unternehmen</t>
  </si>
  <si>
    <t>Viatris</t>
  </si>
  <si>
    <t>Inhaber der Marke Viagra</t>
  </si>
  <si>
    <t>Switch-Datum (hypothetisch)</t>
  </si>
  <si>
    <t>2027</t>
  </si>
  <si>
    <t>BMG koennte SVA ueberstimmen</t>
  </si>
  <si>
    <t>ED-Praevalenz DE</t>
  </si>
  <si>
    <t>Maenner mit moderater-schwerer ED</t>
  </si>
  <si>
    <t>Therapiequote aktuell</t>
  </si>
  <si>
    <t>Nur 30% werden behandelt (May et al. 2007)</t>
  </si>
  <si>
    <t>Therapieluecke</t>
  </si>
  <si>
    <t>Unbehandelte Maenner (berechnet)</t>
  </si>
  <si>
    <t>2. RX-MARKT (vor Switch)</t>
  </si>
  <si>
    <t>Sildenafil Rx Tabl./Monat</t>
  </si>
  <si>
    <t>65% von ~2.6M PDE5 Pack./Jahr × 4 Tabl.</t>
  </si>
  <si>
    <t>Viagra Preis/Tablette (EUR)</t>
  </si>
  <si>
    <t>Markenpreis 50mg (4er Pack)</t>
  </si>
  <si>
    <t>Generika Preis/Tablette (EUR)</t>
  </si>
  <si>
    <t>Durchschnitt (Spanne 0.95-2.30)</t>
  </si>
  <si>
    <t>Viagra Markenanteil (Rx)</t>
  </si>
  <si>
    <t>~10% der Sildenafil-Packs</t>
  </si>
  <si>
    <t>Rx-Rueckgang durch OTC</t>
  </si>
  <si>
    <t>UK: Rx stieg sogar! Konservativ: -8%</t>
  </si>
  <si>
    <t>GKV-Erstattung</t>
  </si>
  <si>
    <t>NEIN</t>
  </si>
  <si>
    <t>Patient zahlt 100% (Lifestyle-AM)</t>
  </si>
  <si>
    <t>3. OTC-KANAL</t>
  </si>
  <si>
    <t>OTC Preis/Tablette (EUR)</t>
  </si>
  <si>
    <t>Zwischen UK GBP 5 und Rx-Generika EUR 1.50</t>
  </si>
  <si>
    <t>OTC Peak Tabletten/Monat</t>
  </si>
  <si>
    <t>Alle Kanaele zusammen</t>
  </si>
  <si>
    <t>Monate bis Peak</t>
  </si>
  <si>
    <t>Ramp-up-Dauer</t>
  </si>
  <si>
    <t>Neue Patienten (% OTC-Vol.)</t>
  </si>
  <si>
    <t>UK-Referenz: 63% nie vorher behandelt</t>
  </si>
  <si>
    <t>Preiselastizitaet</t>
  </si>
  <si>
    <t>Niedrig: Patient zahlt ohnehin 100% Rx</t>
  </si>
  <si>
    <t>Preistrend p.a.</t>
  </si>
  <si>
    <t>Generikadruck auf OTC-Preis</t>
  </si>
  <si>
    <t>4. APOTHEKENVERTEILUNG (apothekenpflichtig)</t>
  </si>
  <si>
    <t>Stationaere Apotheke (%)</t>
  </si>
  <si>
    <t>Face-to-face, Beratung, Sofortabholung</t>
  </si>
  <si>
    <t>Online-Apotheke (%)</t>
  </si>
  <si>
    <t>DocMorris, Shop Apotheke – Anonymitaet!</t>
  </si>
  <si>
    <t>Online-Wachstum p.a. (Pp.)</t>
  </si>
  <si>
    <t>ABDA ZDF 2024: ~+1.5-2 Pp./Jahr</t>
  </si>
  <si>
    <t>Apothekenmarge (stationaer)</t>
  </si>
  <si>
    <t>Freie OTC-Preisgestaltung</t>
  </si>
  <si>
    <t>Online-Marge</t>
  </si>
  <si>
    <t>Wettbewerbsdruck, niedrigere Kosten</t>
  </si>
  <si>
    <t>5. MARKE vs. GENERIKA OTC</t>
  </si>
  <si>
    <t>Viagra Connect Anteil (OTC)</t>
  </si>
  <si>
    <t>Markenstaerke vs. Generikadruck</t>
  </si>
  <si>
    <t>Markenanteil-Erosion p.a.</t>
  </si>
  <si>
    <t>Generikahersteller dringen in OTC</t>
  </si>
  <si>
    <t>Preispremium Marke</t>
  </si>
  <si>
    <t>Marke ist 1.8x teurer als Generika OTC</t>
  </si>
  <si>
    <t>6. SZENARIO-DEFINITIONEN</t>
  </si>
  <si>
    <t>Parameter</t>
  </si>
  <si>
    <t>Konservativ</t>
  </si>
  <si>
    <t>Base Case</t>
  </si>
  <si>
    <t>Optimistisch</t>
  </si>
  <si>
    <t>OTC Peak Tabl./Mon.</t>
  </si>
  <si>
    <t>Marketing/Monat (EUR)</t>
  </si>
  <si>
    <t>Neue Patienten (%)</t>
  </si>
  <si>
    <t>Rx-Rueckgang</t>
  </si>
  <si>
    <t>Viagra Markenanteil OTC</t>
  </si>
  <si>
    <t>ED-Markt Deutschland &amp; PDE5-Wettbewerb</t>
  </si>
  <si>
    <t>Epidemiologie &amp; Therapieluecke</t>
  </si>
  <si>
    <t>ED-Praevalenz (DE)</t>
  </si>
  <si>
    <t>4-6 Mio. Maenner (bis 8 Mio. mild)</t>
  </si>
  <si>
    <t>Cologne Male Survey (n=4.489)</t>
  </si>
  <si>
    <t>19.2% ED-Praevalenz gesamt</t>
  </si>
  <si>
    <t>Moderate-schwere ED (Viatris 2023)</t>
  </si>
  <si>
    <t>~5 Mio. Maenner</t>
  </si>
  <si>
    <t>Therapiequote</t>
  </si>
  <si>
    <t>Nur 30% erhalten Behandlung (May et al. 2007)</t>
  </si>
  <si>
    <t>Primaere Barriere</t>
  </si>
  <si>
    <t>Scham / Stigma (GoSpring-Studie)</t>
  </si>
  <si>
    <t>NEIN – Patient zahlt 100%</t>
  </si>
  <si>
    <t>PDE5-Hemmer Wettbewerb</t>
  </si>
  <si>
    <t>Marktanteil
(Packs)</t>
  </si>
  <si>
    <t>Marke</t>
  </si>
  <si>
    <t>Generika
Preis/Tab</t>
  </si>
  <si>
    <t>OTC?</t>
  </si>
  <si>
    <t>Viagra (Viatris)</t>
  </si>
  <si>
    <t>3x abgelehnt (BfArM SVA)</t>
  </si>
  <si>
    <t>Tadalafil</t>
  </si>
  <si>
    <t>Cialis (Lilly)</t>
  </si>
  <si>
    <t>Abgelehnt (Juli 2023)</t>
  </si>
  <si>
    <t>Vardenafil</t>
  </si>
  <si>
    <t>Levitra (Bayer)</t>
  </si>
  <si>
    <t>Kein Antrag</t>
  </si>
  <si>
    <t>Avanafil</t>
  </si>
  <si>
    <t>Spedra (Menarini)</t>
  </si>
  <si>
    <t>UK Viagra Connect – Referenzfall</t>
  </si>
  <si>
    <t>OTC-Launch</t>
  </si>
  <si>
    <t>Maerz 2018 (MHRA)</t>
  </si>
  <si>
    <t>Dosierung OTC</t>
  </si>
  <si>
    <t>50mg, apothekenpflichtig</t>
  </si>
  <si>
    <t>Preis (Boots)</t>
  </si>
  <si>
    <t>GBP 19.99 / 4 Tabletten = GBP 5.00/Tab</t>
  </si>
  <si>
    <t>Umsatz Q1 (12 Wochen)</t>
  </si>
  <si>
    <t>GBP 4.3 Mio.</t>
  </si>
  <si>
    <t>Umsatz Jahr 1 (hochgerechnet)</t>
  </si>
  <si>
    <t>GBP 16 Mio.</t>
  </si>
  <si>
    <t>Neupatienten (nie vorher behandelt)</t>
  </si>
  <si>
    <t>63% (UK Real-World-Studie, n=1.162)</t>
  </si>
  <si>
    <t>NHS Rx-Effekt</t>
  </si>
  <si>
    <t>Rx-Verordnungen STIEGEN ebenfalls</t>
  </si>
  <si>
    <t>UK ED-Markt (2023)</t>
  </si>
  <si>
    <t>USD 260 Mio. (CAGR 7.2%)</t>
  </si>
  <si>
    <t>BfArM SVA-Entscheidungen</t>
  </si>
  <si>
    <t>Januar 2022</t>
  </si>
  <si>
    <t>1. Ablehnung (50mg)</t>
  </si>
  <si>
    <t>Oktober 2022</t>
  </si>
  <si>
    <t>BMG erklaert: WILL OTC-Switch</t>
  </si>
  <si>
    <t>Juli 2023</t>
  </si>
  <si>
    <t>2. Ablehnung (25mg + 50mg Sild. + Tadalafil)</t>
  </si>
  <si>
    <t>Januar 2025</t>
  </si>
  <si>
    <t>3. Ablehnung (keine neuen Daten)</t>
  </si>
  <si>
    <t>Status</t>
  </si>
  <si>
    <t>BMG hat noch nie SVA ueberstimmt – waere Praezedenzfall</t>
  </si>
  <si>
    <t>Apothekenverteilung – OTC Sildenafil (apothekenpflichtig)</t>
  </si>
  <si>
    <t>Monat</t>
  </si>
  <si>
    <t>Apotheke
Tabl.</t>
  </si>
  <si>
    <t>Apotheke
Anteil</t>
  </si>
  <si>
    <t>Apotheke
Umsatz</t>
  </si>
  <si>
    <t>Online
Tabl.</t>
  </si>
  <si>
    <t>Online
Anteil</t>
  </si>
  <si>
    <t>Online
Umsatz</t>
  </si>
  <si>
    <t>Gesamt
OTC Tabl.</t>
  </si>
  <si>
    <t>Sildenafil Rx-to-OTC Forecast – Dual Channel (Base Case)</t>
  </si>
  <si>
    <t>OTC Umsatz Jahr 1</t>
  </si>
  <si>
    <t>Gesamtumsatz 5J</t>
  </si>
  <si>
    <t>Gewinn 5J</t>
  </si>
  <si>
    <t>Online-Anteil M24</t>
  </si>
  <si>
    <t>OTC &gt; Rx ab</t>
  </si>
  <si>
    <t>Monat 5</t>
  </si>
  <si>
    <t>Rx
Tabl.</t>
  </si>
  <si>
    <t>Rx
Umsatz</t>
  </si>
  <si>
    <t>OTC
Tabl.</t>
  </si>
  <si>
    <t>OTC Preis
/Tab</t>
  </si>
  <si>
    <t>OTC Retail
Umsatz</t>
  </si>
  <si>
    <t>OTC Herst.
Umsatz</t>
  </si>
  <si>
    <t>Marke
Tabl.</t>
  </si>
  <si>
    <t>Generika
Tabl.</t>
  </si>
  <si>
    <t>Marke
%</t>
  </si>
  <si>
    <t>Saison</t>
  </si>
  <si>
    <t>Gesamt
Umsatz</t>
  </si>
  <si>
    <t>Oper.
Gewinn</t>
  </si>
  <si>
    <t>Kum.
Umsatz</t>
  </si>
  <si>
    <t>Kum.
Gewinn</t>
  </si>
  <si>
    <t>Executive Summary – Sildenafil OTC Switch</t>
  </si>
  <si>
    <t>Szenario-Vergleich</t>
  </si>
  <si>
    <t>Gesamtumsatz 5J (Rx+OTC)</t>
  </si>
  <si>
    <t>OTC Umsatz 5J</t>
  </si>
  <si>
    <t>Rx Umsatz 5J</t>
  </si>
  <si>
    <t>OTC-Anteil M12 (Tabletten)</t>
  </si>
  <si>
    <t>OTC-Anteil M24 (Tabletten)</t>
  </si>
  <si>
    <t>Viagra Markenanteil M12</t>
  </si>
  <si>
    <t>Rx-Rueckgang gesamt</t>
  </si>
  <si>
    <t>Therapiequote (neu)</t>
  </si>
  <si>
    <t>Marketing-Invest 5J</t>
  </si>
  <si>
    <t>Methodik &amp; Transparenz-Matrix</t>
  </si>
  <si>
    <t>Jeder Datenpunkt ist klassifiziert: FAKT / ANNAHME / MODELL / LUECKE</t>
  </si>
  <si>
    <t>Legende:</t>
  </si>
  <si>
    <t>FAKT</t>
  </si>
  <si>
    <t>Aus oeffentlichen Quellen</t>
  </si>
  <si>
    <t>ANNAHME</t>
  </si>
  <si>
    <t>Steuerbar (gelbe Zellen)</t>
  </si>
  <si>
    <t>MODELL</t>
  </si>
  <si>
    <t>Mathematisches Modell</t>
  </si>
  <si>
    <t>LUECKE</t>
  </si>
  <si>
    <t>Fuer Produktiveinsatz noetig</t>
  </si>
  <si>
    <t>FAKTEN</t>
  </si>
  <si>
    <t>Datenpunkt</t>
  </si>
  <si>
    <t>Wert</t>
  </si>
  <si>
    <t>Quelle</t>
  </si>
  <si>
    <t>Kat.</t>
  </si>
  <si>
    <t>4-6 Mio. (Cologne Male Survey)</t>
  </si>
  <si>
    <t>Nature / Braun et al.</t>
  </si>
  <si>
    <t>30% (May et al. 2007; Arnold 2023)</t>
  </si>
  <si>
    <t>Viatris DE / Handelsblatt</t>
  </si>
  <si>
    <t>PDE5-Markt DE</t>
  </si>
  <si>
    <t>~2.6 Mio. Pack./Jahr</t>
  </si>
  <si>
    <t>IQVIA / Apotheke Adhoc</t>
  </si>
  <si>
    <t>Sildenafil-Anteil</t>
  </si>
  <si>
    <t>55-65% der PDE5-Packs</t>
  </si>
  <si>
    <t>Apotheke Adhoc / Handelsblatt</t>
  </si>
  <si>
    <t>Viagra Markenanteil</t>
  </si>
  <si>
    <t>~10% der Sild.-Packs</t>
  </si>
  <si>
    <t>Apotheke Adhoc</t>
  </si>
  <si>
    <t>Generika-Preis</t>
  </si>
  <si>
    <t>EUR 0.95-2.30/Tablette</t>
  </si>
  <si>
    <t>GoSpring / Zava</t>
  </si>
  <si>
    <t>BfArM SVA: 3x abgelehnt</t>
  </si>
  <si>
    <t>2022, 2023, 2025</t>
  </si>
  <si>
    <t>Citeline / Apotheke Adhoc</t>
  </si>
  <si>
    <t>BMG will Switch</t>
  </si>
  <si>
    <t>Okt. 2022 erklaert</t>
  </si>
  <si>
    <t>Citeline / HBW Insight</t>
  </si>
  <si>
    <t>UK Viagra Connect</t>
  </si>
  <si>
    <t>Maerz 2018, GBP 5/Tab</t>
  </si>
  <si>
    <t>MHRA / Boots</t>
  </si>
  <si>
    <t>UK: 63% Neupatienten</t>
  </si>
  <si>
    <t>n=1.162, Lee et al. 2021</t>
  </si>
  <si>
    <t>PMC / IJCP</t>
  </si>
  <si>
    <t>UK: Rx STIEG post-Switch</t>
  </si>
  <si>
    <t>NHS Rx nicht kannibalisiert</t>
  </si>
  <si>
    <t>PAGB/Frontier Economics</t>
  </si>
  <si>
    <t>GKV: keine Erstattung ED</t>
  </si>
  <si>
    <t>Lifestyle-AM (SGB V)</t>
  </si>
  <si>
    <t>GKV-SV</t>
  </si>
  <si>
    <t>Online-Apotheke CAGR OTC</t>
  </si>
  <si>
    <t>12.6% durch 2030</t>
  </si>
  <si>
    <t>Grand View Research</t>
  </si>
  <si>
    <t>ANNAHMEN</t>
  </si>
  <si>
    <t>Default</t>
  </si>
  <si>
    <t>Begruendung</t>
  </si>
  <si>
    <t>OTC Peak Vol.</t>
  </si>
  <si>
    <t>2.1M Tabl./Mon.</t>
  </si>
  <si>
    <t>Hochrechnung: UK + DE-Marktgroesse</t>
  </si>
  <si>
    <t>OTC Preis</t>
  </si>
  <si>
    <t>EUR 5.99/Tab</t>
  </si>
  <si>
    <t>Neue Patienten</t>
  </si>
  <si>
    <t>63%</t>
  </si>
  <si>
    <t>8%</t>
  </si>
  <si>
    <t>Online-Anteil</t>
  </si>
  <si>
    <t>45% (steigend)</t>
  </si>
  <si>
    <t>Anonymitaet = Kernvorteil bei ED/Stigma</t>
  </si>
  <si>
    <t>Markenanteil</t>
  </si>
  <si>
    <t>25% (sinkend)</t>
  </si>
  <si>
    <t>Viagra-Brand stark, aber Generikadruck</t>
  </si>
  <si>
    <t>Marketing</t>
  </si>
  <si>
    <t>EUR 500K/Mon.</t>
  </si>
  <si>
    <t>Hoeher als PPI: DTC Brand Building</t>
  </si>
  <si>
    <t>MODELLE</t>
  </si>
  <si>
    <t>Modell</t>
  </si>
  <si>
    <t>Formel / Logik</t>
  </si>
  <si>
    <t>Referenz</t>
  </si>
  <si>
    <t>OTC-Ramp</t>
  </si>
  <si>
    <t>Logistic S-Curve (peak, midpoint, steepness)</t>
  </si>
  <si>
    <t>UK Viagra Connect Launch-Kurve</t>
  </si>
  <si>
    <t>Rx-Effekt</t>
  </si>
  <si>
    <t>Exp. Decay mit hohem Floor (92%)</t>
  </si>
  <si>
    <t>UK: Rx stieg – konservativ modelliert</t>
  </si>
  <si>
    <t>Apothekenverteilung</t>
  </si>
  <si>
    <t>2 Kanaele (apothekenpflichtig)</t>
  </si>
  <si>
    <t>Online CAGR 12.6%, Discretion-Faktor</t>
  </si>
  <si>
    <t>Discretion-Bonus</t>
  </si>
  <si>
    <t>Kanal-Volumen * (1 + (disc-0.7)*0.15)</t>
  </si>
  <si>
    <t>ED-Stigma treibt anonyme Kanaele</t>
  </si>
  <si>
    <t>Markenanteil-Erosion</t>
  </si>
  <si>
    <t>Linear: -3Pp/Jahr, Floor 10%</t>
  </si>
  <si>
    <t>Generikadruck analog UK</t>
  </si>
  <si>
    <t>Tadalafil-Migration</t>
  </si>
  <si>
    <t>Logistic: 12% der Tada-Tabl. zu OTC Sild.</t>
  </si>
  <si>
    <t>Convenience-Vorteil OTC</t>
  </si>
  <si>
    <t>LUECKEN</t>
  </si>
  <si>
    <t>Gap</t>
  </si>
  <si>
    <t>Beschreibung</t>
  </si>
  <si>
    <t>Datenquelle</t>
  </si>
  <si>
    <t>IQVIA PDE5-Detaildaten</t>
  </si>
  <si>
    <t>Monatl. Pack./Umsatz pro Produkt + Kanal</t>
  </si>
  <si>
    <t>IQVIA Prescription Analytics</t>
  </si>
  <si>
    <t>Apotheken-Empfehlungsverhalten</t>
  </si>
  <si>
    <t>Substitutionspraeferenzen bei OTC-Beratung</t>
  </si>
  <si>
    <t>IQVIA / GfK Panel</t>
  </si>
  <si>
    <t>Consumer-Tracking ED</t>
  </si>
  <si>
    <t>Awareness, Consideration, Trial auf Produktebene</t>
  </si>
  <si>
    <t>GfK / Kantar Consumer Panel</t>
  </si>
  <si>
    <t>Preiselastizitaet (gemessen)</t>
  </si>
  <si>
    <t>Conjoint-Analyse fuer OTC ED-Preispunkte</t>
  </si>
  <si>
    <t>Primaerforschung / Scanner-Daten</t>
  </si>
  <si>
    <t>Online-Kanal Split</t>
  </si>
  <si>
    <t>Marktanteile DocMorris vs. Shop Apotheke fuer ED</t>
  </si>
  <si>
    <t>SEMPORA / IQVIA</t>
  </si>
  <si>
    <t>BfArM Switch-Wahrscheinlichkeit</t>
  </si>
  <si>
    <t>Politische Dynamik BMG vs. SVA</t>
  </si>
  <si>
    <t>Regulatorische Intelligence</t>
  </si>
  <si>
    <t>Hinweis: Alle Daten synthetisch. Referenzen: UK Viagra Connect (2018), IQVIA PDE5-Markt DE, BfArM SVA-Protokolle, PMC Lee et al. 2021, Viatris Investor Relations. Kein Bezug zu vertraulichen Daten.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</si>
</sst>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%"/>
    <numFmt numFmtId="166" formatCode="€#,##0.00"/>
    <numFmt numFmtId="167" formatCode="€#,##0"/>
    <numFmt numFmtId="168" formatCode="0.00"/>
  </numFmts>
  <fonts count="13">
    <font>
      <sz val="11"/>
      <color theme="1"/>
      <name val="Calibri"/>
      <family val="2"/>
      <scheme val="minor"/>
    </font>
    <font>
      <b/>
      <sz val="16"/>
      <color rgb="FF1E3A5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2"/>
      <color rgb="FF1E3A5F"/>
      <name val="Calibri"/>
      <family val="2"/>
      <scheme val="minor"/>
    </font>
    <font>
      <b/>
      <sz val="10"/>
      <color rgb="FF374151"/>
      <name val="Calibri"/>
      <family val="2"/>
      <scheme val="minor"/>
    </font>
    <font>
      <b/>
      <sz val="11"/>
      <color rgb="FF1A237E"/>
      <name val="Calibri"/>
      <family val="2"/>
      <scheme val="minor"/>
    </font>
    <font>
      <i/>
      <sz val="9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4"/>
      <color rgb="FF1E3A5F"/>
      <name val="Calibri"/>
      <family val="2"/>
      <scheme val="minor"/>
    </font>
    <font>
      <b/>
      <sz val="14"/>
      <color rgb="FF134E4A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2F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E3A5F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E0B800"/>
      </left>
      <right style="thin">
        <color rgb="FFE0B800"/>
      </right>
      <top style="thin">
        <color rgb="FFE0B800"/>
      </top>
      <bottom style="thin">
        <color rgb="FFE0B8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0" xfId="0" applyFont="1" applyAlignment="1">
      <alignment vertical="center"/>
    </xf>
    <xf numFmtId="0" fontId="5" fillId="3" borderId="3" xfId="0" applyFont="1" applyFill="1" applyBorder="1"/>
    <xf numFmtId="0" fontId="6" fillId="0" borderId="0" xfId="0" applyFont="1" applyAlignment="1">
      <alignment vertical="center" wrapText="1"/>
    </xf>
    <xf numFmtId="164" fontId="5" fillId="3" borderId="3" xfId="0" applyNumberFormat="1" applyFont="1" applyFill="1" applyBorder="1"/>
    <xf numFmtId="165" fontId="5" fillId="3" borderId="3" xfId="0" applyNumberFormat="1" applyFont="1" applyFill="1" applyBorder="1"/>
    <xf numFmtId="166" fontId="5" fillId="3" borderId="3" xfId="0" applyNumberFormat="1" applyFont="1" applyFill="1" applyBorder="1"/>
    <xf numFmtId="0" fontId="7" fillId="4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0" fontId="7" fillId="5" borderId="4" xfId="0" applyFont="1" applyFill="1" applyBorder="1" applyAlignment="1">
      <alignment horizontal="center" vertical="center" wrapText="1"/>
    </xf>
    <xf numFmtId="164" fontId="0" fillId="0" borderId="0" xfId="0" applyNumberFormat="1"/>
    <xf numFmtId="167" fontId="0" fillId="0" borderId="0" xfId="0" applyNumberFormat="1"/>
    <xf numFmtId="0" fontId="0" fillId="6" borderId="0" xfId="0" applyFill="1"/>
    <xf numFmtId="164" fontId="0" fillId="6" borderId="0" xfId="0" applyNumberFormat="1" applyFill="1"/>
    <xf numFmtId="165" fontId="0" fillId="6" borderId="0" xfId="0" applyNumberFormat="1" applyFill="1"/>
    <xf numFmtId="167" fontId="0" fillId="6" borderId="0" xfId="0" applyNumberFormat="1" applyFill="1"/>
    <xf numFmtId="0" fontId="9" fillId="7" borderId="4" xfId="0" applyFont="1" applyFill="1" applyBorder="1"/>
    <xf numFmtId="167" fontId="10" fillId="7" borderId="4" xfId="0" applyNumberFormat="1" applyFont="1" applyFill="1" applyBorder="1" applyAlignment="1">
      <alignment horizontal="center"/>
    </xf>
    <xf numFmtId="165" fontId="11" fillId="8" borderId="4" xfId="0" applyNumberFormat="1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 vertical="center" wrapText="1"/>
    </xf>
    <xf numFmtId="168" fontId="0" fillId="0" borderId="0" xfId="0" applyNumberFormat="1"/>
    <xf numFmtId="0" fontId="12" fillId="10" borderId="4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12" fillId="11" borderId="4" xfId="0" applyFont="1" applyFill="1" applyBorder="1" applyAlignment="1">
      <alignment vertical="center" wrapText="1"/>
    </xf>
    <xf numFmtId="0" fontId="12" fillId="1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OTC-Volumen nach Vertriebskanal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Apotheke</c:v>
          </c:tx>
          <c:spPr>
            <a:solidFill>
              <a:srgbClr val="1E3A5F"/>
            </a:solidFill>
          </c:spPr>
          <c:cat>
            <c:numRef>
              <c:f>Apothekenverteilung!$B$5:$B$64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Apothekenverteilung!$C$5:$C$64</c:f>
              <c:numCache>
                <c:formatCode>General</c:formatCode>
                <c:ptCount val="60"/>
                <c:pt idx="0">
                  <c:v>89067</c:v>
                </c:pt>
                <c:pt idx="1">
                  <c:v>139420</c:v>
                </c:pt>
                <c:pt idx="2">
                  <c:v>176829</c:v>
                </c:pt>
                <c:pt idx="3">
                  <c:v>231939</c:v>
                </c:pt>
                <c:pt idx="4">
                  <c:v>313578</c:v>
                </c:pt>
                <c:pt idx="5">
                  <c:v>414132</c:v>
                </c:pt>
                <c:pt idx="6">
                  <c:v>486972</c:v>
                </c:pt>
                <c:pt idx="7">
                  <c:v>556391</c:v>
                </c:pt>
                <c:pt idx="8">
                  <c:v>617016</c:v>
                </c:pt>
                <c:pt idx="9">
                  <c:v>700647</c:v>
                </c:pt>
                <c:pt idx="10">
                  <c:v>776043</c:v>
                </c:pt>
                <c:pt idx="11">
                  <c:v>884315</c:v>
                </c:pt>
                <c:pt idx="12">
                  <c:v>848079</c:v>
                </c:pt>
                <c:pt idx="13">
                  <c:v>1033408</c:v>
                </c:pt>
                <c:pt idx="14">
                  <c:v>1019501</c:v>
                </c:pt>
                <c:pt idx="15">
                  <c:v>1045359</c:v>
                </c:pt>
                <c:pt idx="16">
                  <c:v>1116390</c:v>
                </c:pt>
                <c:pt idx="17">
                  <c:v>1183270</c:v>
                </c:pt>
                <c:pt idx="18">
                  <c:v>1140428</c:v>
                </c:pt>
                <c:pt idx="19">
                  <c:v>1093616</c:v>
                </c:pt>
                <c:pt idx="20">
                  <c:v>1044029</c:v>
                </c:pt>
                <c:pt idx="21">
                  <c:v>1046195</c:v>
                </c:pt>
                <c:pt idx="22">
                  <c:v>1047146</c:v>
                </c:pt>
                <c:pt idx="23">
                  <c:v>1100880</c:v>
                </c:pt>
                <c:pt idx="24">
                  <c:v>992974</c:v>
                </c:pt>
                <c:pt idx="25">
                  <c:v>1152667</c:v>
                </c:pt>
                <c:pt idx="26">
                  <c:v>1097585</c:v>
                </c:pt>
                <c:pt idx="27">
                  <c:v>1095800</c:v>
                </c:pt>
                <c:pt idx="28">
                  <c:v>1147112</c:v>
                </c:pt>
                <c:pt idx="29">
                  <c:v>1198062</c:v>
                </c:pt>
                <c:pt idx="30">
                  <c:v>1142513</c:v>
                </c:pt>
                <c:pt idx="31">
                  <c:v>1087102</c:v>
                </c:pt>
                <c:pt idx="32">
                  <c:v>1031858</c:v>
                </c:pt>
                <c:pt idx="33">
                  <c:v>1029532</c:v>
                </c:pt>
                <c:pt idx="34">
                  <c:v>1027169</c:v>
                </c:pt>
                <c:pt idx="35">
                  <c:v>1077263</c:v>
                </c:pt>
                <c:pt idx="36">
                  <c:v>969993</c:v>
                </c:pt>
                <c:pt idx="37">
                  <c:v>1124399</c:v>
                </c:pt>
                <c:pt idx="38">
                  <c:v>1069577</c:v>
                </c:pt>
                <c:pt idx="39">
                  <c:v>1066979</c:v>
                </c:pt>
                <c:pt idx="40">
                  <c:v>1116230</c:v>
                </c:pt>
                <c:pt idx="41">
                  <c:v>1165214</c:v>
                </c:pt>
                <c:pt idx="42">
                  <c:v>1110711</c:v>
                </c:pt>
                <c:pt idx="43">
                  <c:v>1056450</c:v>
                </c:pt>
                <c:pt idx="44">
                  <c:v>1002434</c:v>
                </c:pt>
                <c:pt idx="45">
                  <c:v>999889</c:v>
                </c:pt>
                <c:pt idx="46">
                  <c:v>997334</c:v>
                </c:pt>
                <c:pt idx="47">
                  <c:v>1045734</c:v>
                </c:pt>
                <c:pt idx="48">
                  <c:v>941360</c:v>
                </c:pt>
                <c:pt idx="49">
                  <c:v>1091016</c:v>
                </c:pt>
                <c:pt idx="50">
                  <c:v>1037587</c:v>
                </c:pt>
                <c:pt idx="51">
                  <c:v>1034850</c:v>
                </c:pt>
                <c:pt idx="52">
                  <c:v>1082411</c:v>
                </c:pt>
                <c:pt idx="53">
                  <c:v>1129696</c:v>
                </c:pt>
                <c:pt idx="54">
                  <c:v>1076623</c:v>
                </c:pt>
                <c:pt idx="55">
                  <c:v>1023806</c:v>
                </c:pt>
                <c:pt idx="56">
                  <c:v>971249</c:v>
                </c:pt>
                <c:pt idx="57">
                  <c:v>968589</c:v>
                </c:pt>
                <c:pt idx="58">
                  <c:v>965919</c:v>
                </c:pt>
                <c:pt idx="59">
                  <c:v>1012606</c:v>
                </c:pt>
              </c:numCache>
            </c:numRef>
          </c:val>
        </c:ser>
        <c:ser>
          <c:idx val="1"/>
          <c:order val="1"/>
          <c:tx>
            <c:v>Online</c:v>
          </c:tx>
          <c:spPr>
            <a:solidFill>
              <a:srgbClr val="0D9488"/>
            </a:solidFill>
          </c:spPr>
          <c:cat>
            <c:numRef>
              <c:f>Apothekenverteilung!$B$5:$B$64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Apothekenverteilung!$F$5:$F$64</c:f>
              <c:numCache>
                <c:formatCode>General</c:formatCode>
                <c:ptCount val="60"/>
                <c:pt idx="0">
                  <c:v>76667</c:v>
                </c:pt>
                <c:pt idx="1">
                  <c:v>120819</c:v>
                </c:pt>
                <c:pt idx="2">
                  <c:v>154271</c:v>
                </c:pt>
                <c:pt idx="3">
                  <c:v>203715</c:v>
                </c:pt>
                <c:pt idx="4">
                  <c:v>277275</c:v>
                </c:pt>
                <c:pt idx="5">
                  <c:v>368654</c:v>
                </c:pt>
                <c:pt idx="6">
                  <c:v>436413</c:v>
                </c:pt>
                <c:pt idx="7">
                  <c:v>501979</c:v>
                </c:pt>
                <c:pt idx="8">
                  <c:v>560418</c:v>
                </c:pt>
                <c:pt idx="9">
                  <c:v>640654</c:v>
                </c:pt>
                <c:pt idx="10">
                  <c:v>714361</c:v>
                </c:pt>
                <c:pt idx="11">
                  <c:v>819493</c:v>
                </c:pt>
                <c:pt idx="12">
                  <c:v>791188</c:v>
                </c:pt>
                <c:pt idx="13">
                  <c:v>970553</c:v>
                </c:pt>
                <c:pt idx="14">
                  <c:v>963914</c:v>
                </c:pt>
                <c:pt idx="15">
                  <c:v>994988</c:v>
                </c:pt>
                <c:pt idx="16">
                  <c:v>1069719</c:v>
                </c:pt>
                <c:pt idx="17">
                  <c:v>1141401</c:v>
                </c:pt>
                <c:pt idx="18">
                  <c:v>1107443</c:v>
                </c:pt>
                <c:pt idx="19">
                  <c:v>1069098</c:v>
                </c:pt>
                <c:pt idx="20">
                  <c:v>1027457</c:v>
                </c:pt>
                <c:pt idx="21">
                  <c:v>1036480</c:v>
                </c:pt>
                <c:pt idx="22">
                  <c:v>1044367</c:v>
                </c:pt>
                <c:pt idx="23">
                  <c:v>1105305</c:v>
                </c:pt>
                <c:pt idx="24">
                  <c:v>1003636</c:v>
                </c:pt>
                <c:pt idx="25">
                  <c:v>1172839</c:v>
                </c:pt>
                <c:pt idx="26">
                  <c:v>1124264</c:v>
                </c:pt>
                <c:pt idx="27">
                  <c:v>1129944</c:v>
                </c:pt>
                <c:pt idx="28">
                  <c:v>1190767</c:v>
                </c:pt>
                <c:pt idx="29">
                  <c:v>1251975</c:v>
                </c:pt>
                <c:pt idx="30">
                  <c:v>1201912</c:v>
                </c:pt>
                <c:pt idx="31">
                  <c:v>1151270</c:v>
                </c:pt>
                <c:pt idx="32">
                  <c:v>1100075</c:v>
                </c:pt>
                <c:pt idx="33">
                  <c:v>1104939</c:v>
                </c:pt>
                <c:pt idx="34">
                  <c:v>1109778</c:v>
                </c:pt>
                <c:pt idx="35">
                  <c:v>1171688</c:v>
                </c:pt>
                <c:pt idx="36">
                  <c:v>1062077</c:v>
                </c:pt>
                <c:pt idx="37">
                  <c:v>1239380</c:v>
                </c:pt>
                <c:pt idx="38">
                  <c:v>1186845</c:v>
                </c:pt>
                <c:pt idx="39">
                  <c:v>1191889</c:v>
                </c:pt>
                <c:pt idx="40">
                  <c:v>1255257</c:v>
                </c:pt>
                <c:pt idx="41">
                  <c:v>1319119</c:v>
                </c:pt>
                <c:pt idx="42">
                  <c:v>1265843</c:v>
                </c:pt>
                <c:pt idx="43">
                  <c:v>1212073</c:v>
                </c:pt>
                <c:pt idx="44">
                  <c:v>1157811</c:v>
                </c:pt>
                <c:pt idx="45">
                  <c:v>1162618</c:v>
                </c:pt>
                <c:pt idx="46">
                  <c:v>1167428</c:v>
                </c:pt>
                <c:pt idx="47">
                  <c:v>1232298</c:v>
                </c:pt>
                <c:pt idx="48">
                  <c:v>1116751</c:v>
                </c:pt>
                <c:pt idx="49">
                  <c:v>1302985</c:v>
                </c:pt>
                <c:pt idx="50">
                  <c:v>1247503</c:v>
                </c:pt>
                <c:pt idx="51">
                  <c:v>1252579</c:v>
                </c:pt>
                <c:pt idx="52">
                  <c:v>1318959</c:v>
                </c:pt>
                <c:pt idx="53">
                  <c:v>1385843</c:v>
                </c:pt>
                <c:pt idx="54">
                  <c:v>1329629</c:v>
                </c:pt>
                <c:pt idx="55">
                  <c:v>1272920</c:v>
                </c:pt>
                <c:pt idx="56">
                  <c:v>1215715</c:v>
                </c:pt>
                <c:pt idx="57">
                  <c:v>1220564</c:v>
                </c:pt>
                <c:pt idx="58">
                  <c:v>1225416</c:v>
                </c:pt>
                <c:pt idx="59">
                  <c:v>1293323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Tabletten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Dual-Kanal: Rx vs. OTC Tabletten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 Tabletten</c:v>
          </c:tx>
          <c:spPr>
            <a:ln w="31750">
              <a:solidFill>
                <a:srgbClr val="2563EB"/>
              </a:solidFill>
            </a:ln>
          </c:spPr>
          <c:marker>
            <c:symbol val="none"/>
          </c:marke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Forecast!$C$9:$C$68</c:f>
              <c:numCache>
                <c:formatCode>General</c:formatCode>
                <c:ptCount val="60"/>
                <c:pt idx="0">
                  <c:v>776210</c:v>
                </c:pt>
                <c:pt idx="1">
                  <c:v>900221</c:v>
                </c:pt>
                <c:pt idx="2">
                  <c:v>852659</c:v>
                </c:pt>
                <c:pt idx="3">
                  <c:v>848340</c:v>
                </c:pt>
                <c:pt idx="4">
                  <c:v>886583</c:v>
                </c:pt>
                <c:pt idx="5">
                  <c:v>924778</c:v>
                </c:pt>
                <c:pt idx="6">
                  <c:v>879209</c:v>
                </c:pt>
                <c:pt idx="7">
                  <c:v>834246</c:v>
                </c:pt>
                <c:pt idx="8">
                  <c:v>789826</c:v>
                </c:pt>
                <c:pt idx="9">
                  <c:v>787336</c:v>
                </c:pt>
                <c:pt idx="10">
                  <c:v>785044</c:v>
                </c:pt>
                <c:pt idx="11">
                  <c:v>824142</c:v>
                </c:pt>
                <c:pt idx="12">
                  <c:v>739889</c:v>
                </c:pt>
                <c:pt idx="13">
                  <c:v>861231</c:v>
                </c:pt>
                <c:pt idx="14">
                  <c:v>818490</c:v>
                </c:pt>
                <c:pt idx="15">
                  <c:v>816899</c:v>
                </c:pt>
                <c:pt idx="16">
                  <c:v>856206</c:v>
                </c:pt>
                <c:pt idx="17">
                  <c:v>895496</c:v>
                </c:pt>
                <c:pt idx="18">
                  <c:v>853490</c:v>
                </c:pt>
                <c:pt idx="19">
                  <c:v>811707</c:v>
                </c:pt>
                <c:pt idx="20">
                  <c:v>770124</c:v>
                </c:pt>
                <c:pt idx="21">
                  <c:v>769206</c:v>
                </c:pt>
                <c:pt idx="22">
                  <c:v>768362</c:v>
                </c:pt>
                <c:pt idx="23">
                  <c:v>807984</c:v>
                </c:pt>
                <c:pt idx="24">
                  <c:v>726509</c:v>
                </c:pt>
                <c:pt idx="25">
                  <c:v>846866</c:v>
                </c:pt>
                <c:pt idx="26">
                  <c:v>805902</c:v>
                </c:pt>
                <c:pt idx="27">
                  <c:v>805316</c:v>
                </c:pt>
                <c:pt idx="28">
                  <c:v>845016</c:v>
                </c:pt>
                <c:pt idx="29">
                  <c:v>884708</c:v>
                </c:pt>
                <c:pt idx="30">
                  <c:v>844015</c:v>
                </c:pt>
                <c:pt idx="31">
                  <c:v>803403</c:v>
                </c:pt>
                <c:pt idx="32">
                  <c:v>762866</c:v>
                </c:pt>
                <c:pt idx="33">
                  <c:v>762528</c:v>
                </c:pt>
                <c:pt idx="34">
                  <c:v>762217</c:v>
                </c:pt>
                <c:pt idx="35">
                  <c:v>802032</c:v>
                </c:pt>
                <c:pt idx="36">
                  <c:v>721579</c:v>
                </c:pt>
                <c:pt idx="37">
                  <c:v>841575</c:v>
                </c:pt>
                <c:pt idx="38">
                  <c:v>801265</c:v>
                </c:pt>
                <c:pt idx="39">
                  <c:v>801049</c:v>
                </c:pt>
                <c:pt idx="40">
                  <c:v>840893</c:v>
                </c:pt>
                <c:pt idx="41">
                  <c:v>880734</c:v>
                </c:pt>
                <c:pt idx="42">
                  <c:v>840524</c:v>
                </c:pt>
                <c:pt idx="43">
                  <c:v>800344</c:v>
                </c:pt>
                <c:pt idx="44">
                  <c:v>760192</c:v>
                </c:pt>
                <c:pt idx="45">
                  <c:v>760067</c:v>
                </c:pt>
                <c:pt idx="46">
                  <c:v>759953</c:v>
                </c:pt>
                <c:pt idx="47">
                  <c:v>799839</c:v>
                </c:pt>
                <c:pt idx="48">
                  <c:v>719763</c:v>
                </c:pt>
                <c:pt idx="49">
                  <c:v>839625</c:v>
                </c:pt>
                <c:pt idx="50">
                  <c:v>799557</c:v>
                </c:pt>
                <c:pt idx="51">
                  <c:v>799477</c:v>
                </c:pt>
                <c:pt idx="52">
                  <c:v>839374</c:v>
                </c:pt>
                <c:pt idx="53">
                  <c:v>879270</c:v>
                </c:pt>
                <c:pt idx="54">
                  <c:v>839238</c:v>
                </c:pt>
                <c:pt idx="55">
                  <c:v>799217</c:v>
                </c:pt>
                <c:pt idx="56">
                  <c:v>759207</c:v>
                </c:pt>
                <c:pt idx="57">
                  <c:v>759161</c:v>
                </c:pt>
                <c:pt idx="58">
                  <c:v>759119</c:v>
                </c:pt>
                <c:pt idx="59">
                  <c:v>799031</c:v>
                </c:pt>
              </c:numCache>
            </c:numRef>
          </c:val>
        </c:ser>
        <c:ser>
          <c:idx val="1"/>
          <c:order val="1"/>
          <c:tx>
            <c:v>OTC Tabletten</c:v>
          </c:tx>
          <c:spPr>
            <a:ln w="31750">
              <a:solidFill>
                <a:srgbClr val="0D9488"/>
              </a:solidFill>
            </a:ln>
          </c:spPr>
          <c:marker>
            <c:symbol val="none"/>
          </c:marke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Forecast!$E$9:$E$68</c:f>
              <c:numCache>
                <c:formatCode>General</c:formatCode>
                <c:ptCount val="60"/>
                <c:pt idx="0">
                  <c:v>165734</c:v>
                </c:pt>
                <c:pt idx="1">
                  <c:v>260238</c:v>
                </c:pt>
                <c:pt idx="2">
                  <c:v>331100</c:v>
                </c:pt>
                <c:pt idx="3">
                  <c:v>435655</c:v>
                </c:pt>
                <c:pt idx="4">
                  <c:v>590853</c:v>
                </c:pt>
                <c:pt idx="5">
                  <c:v>782786</c:v>
                </c:pt>
                <c:pt idx="6">
                  <c:v>923385</c:v>
                </c:pt>
                <c:pt idx="7">
                  <c:v>1058370</c:v>
                </c:pt>
                <c:pt idx="8">
                  <c:v>1177434</c:v>
                </c:pt>
                <c:pt idx="9">
                  <c:v>1341301</c:v>
                </c:pt>
                <c:pt idx="10">
                  <c:v>1490403</c:v>
                </c:pt>
                <c:pt idx="11">
                  <c:v>1703807</c:v>
                </c:pt>
                <c:pt idx="12">
                  <c:v>1639267</c:v>
                </c:pt>
                <c:pt idx="13">
                  <c:v>2003961</c:v>
                </c:pt>
                <c:pt idx="14">
                  <c:v>1983414</c:v>
                </c:pt>
                <c:pt idx="15">
                  <c:v>2040347</c:v>
                </c:pt>
                <c:pt idx="16">
                  <c:v>2186110</c:v>
                </c:pt>
                <c:pt idx="17">
                  <c:v>2324671</c:v>
                </c:pt>
                <c:pt idx="18">
                  <c:v>2247871</c:v>
                </c:pt>
                <c:pt idx="19">
                  <c:v>2162714</c:v>
                </c:pt>
                <c:pt idx="20">
                  <c:v>2071486</c:v>
                </c:pt>
                <c:pt idx="21">
                  <c:v>2082675</c:v>
                </c:pt>
                <c:pt idx="22">
                  <c:v>2091513</c:v>
                </c:pt>
                <c:pt idx="23">
                  <c:v>2206185</c:v>
                </c:pt>
                <c:pt idx="24">
                  <c:v>1996611</c:v>
                </c:pt>
                <c:pt idx="25">
                  <c:v>2325506</c:v>
                </c:pt>
                <c:pt idx="26">
                  <c:v>2221849</c:v>
                </c:pt>
                <c:pt idx="27">
                  <c:v>2225745</c:v>
                </c:pt>
                <c:pt idx="28">
                  <c:v>2337879</c:v>
                </c:pt>
                <c:pt idx="29">
                  <c:v>2450036</c:v>
                </c:pt>
                <c:pt idx="30">
                  <c:v>2344425</c:v>
                </c:pt>
                <c:pt idx="31">
                  <c:v>2238372</c:v>
                </c:pt>
                <c:pt idx="32">
                  <c:v>2131934</c:v>
                </c:pt>
                <c:pt idx="33">
                  <c:v>2134471</c:v>
                </c:pt>
                <c:pt idx="34">
                  <c:v>2136947</c:v>
                </c:pt>
                <c:pt idx="35">
                  <c:v>2248951</c:v>
                </c:pt>
                <c:pt idx="36">
                  <c:v>2032070</c:v>
                </c:pt>
                <c:pt idx="37">
                  <c:v>2363778</c:v>
                </c:pt>
                <c:pt idx="38">
                  <c:v>2256422</c:v>
                </c:pt>
                <c:pt idx="39">
                  <c:v>2258868</c:v>
                </c:pt>
                <c:pt idx="40">
                  <c:v>2371487</c:v>
                </c:pt>
                <c:pt idx="41">
                  <c:v>2484333</c:v>
                </c:pt>
                <c:pt idx="42">
                  <c:v>2376553</c:v>
                </c:pt>
                <c:pt idx="43">
                  <c:v>2268523</c:v>
                </c:pt>
                <c:pt idx="44">
                  <c:v>2160246</c:v>
                </c:pt>
                <c:pt idx="45">
                  <c:v>2162507</c:v>
                </c:pt>
                <c:pt idx="46">
                  <c:v>2164762</c:v>
                </c:pt>
                <c:pt idx="47">
                  <c:v>2278032</c:v>
                </c:pt>
                <c:pt idx="48">
                  <c:v>2058111</c:v>
                </c:pt>
                <c:pt idx="49">
                  <c:v>2394001</c:v>
                </c:pt>
                <c:pt idx="50">
                  <c:v>2285089</c:v>
                </c:pt>
                <c:pt idx="51">
                  <c:v>2287429</c:v>
                </c:pt>
                <c:pt idx="52">
                  <c:v>2401371</c:v>
                </c:pt>
                <c:pt idx="53">
                  <c:v>2515539</c:v>
                </c:pt>
                <c:pt idx="54">
                  <c:v>2406252</c:v>
                </c:pt>
                <c:pt idx="55">
                  <c:v>2296727</c:v>
                </c:pt>
                <c:pt idx="56">
                  <c:v>2186964</c:v>
                </c:pt>
                <c:pt idx="57">
                  <c:v>2189153</c:v>
                </c:pt>
                <c:pt idx="58">
                  <c:v>2191335</c:v>
                </c:pt>
                <c:pt idx="59">
                  <c:v>2305929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Tabletten / Monat</a:t>
                </a:r>
              </a:p>
            </c:rich>
          </c:tx>
          <c:layout/>
        </c:title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OTC: Viagra Connect vs. Generika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Viagra Connect</c:v>
          </c:tx>
          <c:spPr>
            <a:solidFill>
              <a:srgbClr val="1E40AF"/>
            </a:solidFill>
          </c:spP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Forecast!$I$9:$I$68</c:f>
              <c:numCache>
                <c:formatCode>General</c:formatCode>
                <c:ptCount val="60"/>
                <c:pt idx="0">
                  <c:v>41019</c:v>
                </c:pt>
                <c:pt idx="1">
                  <c:v>63758</c:v>
                </c:pt>
                <c:pt idx="2">
                  <c:v>80292</c:v>
                </c:pt>
                <c:pt idx="3">
                  <c:v>104557</c:v>
                </c:pt>
                <c:pt idx="4">
                  <c:v>140328</c:v>
                </c:pt>
                <c:pt idx="5">
                  <c:v>183955</c:v>
                </c:pt>
                <c:pt idx="6">
                  <c:v>214687</c:v>
                </c:pt>
                <c:pt idx="7">
                  <c:v>243425</c:v>
                </c:pt>
                <c:pt idx="8">
                  <c:v>267866</c:v>
                </c:pt>
                <c:pt idx="9">
                  <c:v>301793</c:v>
                </c:pt>
                <c:pt idx="10">
                  <c:v>331615</c:v>
                </c:pt>
                <c:pt idx="11">
                  <c:v>374838</c:v>
                </c:pt>
                <c:pt idx="12">
                  <c:v>356541</c:v>
                </c:pt>
                <c:pt idx="13">
                  <c:v>430852</c:v>
                </c:pt>
                <c:pt idx="14">
                  <c:v>421475</c:v>
                </c:pt>
                <c:pt idx="15">
                  <c:v>428473</c:v>
                </c:pt>
                <c:pt idx="16">
                  <c:v>453618</c:v>
                </c:pt>
                <c:pt idx="17">
                  <c:v>476558</c:v>
                </c:pt>
                <c:pt idx="18">
                  <c:v>455194</c:v>
                </c:pt>
                <c:pt idx="19">
                  <c:v>432543</c:v>
                </c:pt>
                <c:pt idx="20">
                  <c:v>409118</c:v>
                </c:pt>
                <c:pt idx="21">
                  <c:v>406122</c:v>
                </c:pt>
                <c:pt idx="22">
                  <c:v>402616</c:v>
                </c:pt>
                <c:pt idx="23">
                  <c:v>419175</c:v>
                </c:pt>
                <c:pt idx="24">
                  <c:v>374365</c:v>
                </c:pt>
                <c:pt idx="25">
                  <c:v>430219</c:v>
                </c:pt>
                <c:pt idx="26">
                  <c:v>405487</c:v>
                </c:pt>
                <c:pt idx="27">
                  <c:v>400634</c:v>
                </c:pt>
                <c:pt idx="28">
                  <c:v>414974</c:v>
                </c:pt>
                <c:pt idx="29">
                  <c:v>428756</c:v>
                </c:pt>
                <c:pt idx="30">
                  <c:v>404413</c:v>
                </c:pt>
                <c:pt idx="31">
                  <c:v>380523</c:v>
                </c:pt>
                <c:pt idx="32">
                  <c:v>357099</c:v>
                </c:pt>
                <c:pt idx="33">
                  <c:v>352188</c:v>
                </c:pt>
                <c:pt idx="34">
                  <c:v>347254</c:v>
                </c:pt>
                <c:pt idx="35">
                  <c:v>359832</c:v>
                </c:pt>
                <c:pt idx="36">
                  <c:v>320051</c:v>
                </c:pt>
                <c:pt idx="37">
                  <c:v>366386</c:v>
                </c:pt>
                <c:pt idx="38">
                  <c:v>344104</c:v>
                </c:pt>
                <c:pt idx="39">
                  <c:v>338830</c:v>
                </c:pt>
                <c:pt idx="40">
                  <c:v>349794</c:v>
                </c:pt>
                <c:pt idx="41">
                  <c:v>360228</c:v>
                </c:pt>
                <c:pt idx="42">
                  <c:v>338659</c:v>
                </c:pt>
                <c:pt idx="43">
                  <c:v>317593</c:v>
                </c:pt>
                <c:pt idx="44">
                  <c:v>297034</c:v>
                </c:pt>
                <c:pt idx="45">
                  <c:v>291938</c:v>
                </c:pt>
                <c:pt idx="46">
                  <c:v>286831</c:v>
                </c:pt>
                <c:pt idx="47">
                  <c:v>296144</c:v>
                </c:pt>
                <c:pt idx="48">
                  <c:v>262409</c:v>
                </c:pt>
                <c:pt idx="49">
                  <c:v>299250</c:v>
                </c:pt>
                <c:pt idx="50">
                  <c:v>279923</c:v>
                </c:pt>
                <c:pt idx="51">
                  <c:v>274491</c:v>
                </c:pt>
                <c:pt idx="52">
                  <c:v>282161</c:v>
                </c:pt>
                <c:pt idx="53">
                  <c:v>289287</c:v>
                </c:pt>
                <c:pt idx="54">
                  <c:v>270703</c:v>
                </c:pt>
                <c:pt idx="55">
                  <c:v>252640</c:v>
                </c:pt>
                <c:pt idx="56">
                  <c:v>235099</c:v>
                </c:pt>
                <c:pt idx="57">
                  <c:v>229861</c:v>
                </c:pt>
                <c:pt idx="58">
                  <c:v>224612</c:v>
                </c:pt>
                <c:pt idx="59">
                  <c:v>230593</c:v>
                </c:pt>
              </c:numCache>
            </c:numRef>
          </c:val>
        </c:ser>
        <c:ser>
          <c:idx val="1"/>
          <c:order val="1"/>
          <c:tx>
            <c:v>Generika OTC</c:v>
          </c:tx>
          <c:spPr>
            <a:solidFill>
              <a:srgbClr val="94A3B8"/>
            </a:solidFill>
          </c:spPr>
          <c:cat>
            <c:numRef>
              <c:f>Forecast!$B$9:$B$68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Forecast!$J$9:$J$68</c:f>
              <c:numCache>
                <c:formatCode>General</c:formatCode>
                <c:ptCount val="60"/>
                <c:pt idx="0">
                  <c:v>124715</c:v>
                </c:pt>
                <c:pt idx="1">
                  <c:v>196480</c:v>
                </c:pt>
                <c:pt idx="2">
                  <c:v>250808</c:v>
                </c:pt>
                <c:pt idx="3">
                  <c:v>331098</c:v>
                </c:pt>
                <c:pt idx="4">
                  <c:v>450525</c:v>
                </c:pt>
                <c:pt idx="5">
                  <c:v>598831</c:v>
                </c:pt>
                <c:pt idx="6">
                  <c:v>708698</c:v>
                </c:pt>
                <c:pt idx="7">
                  <c:v>814945</c:v>
                </c:pt>
                <c:pt idx="8">
                  <c:v>909568</c:v>
                </c:pt>
                <c:pt idx="9">
                  <c:v>1039508</c:v>
                </c:pt>
                <c:pt idx="10">
                  <c:v>1158788</c:v>
                </c:pt>
                <c:pt idx="11">
                  <c:v>1328969</c:v>
                </c:pt>
                <c:pt idx="12">
                  <c:v>1282726</c:v>
                </c:pt>
                <c:pt idx="13">
                  <c:v>1573109</c:v>
                </c:pt>
                <c:pt idx="14">
                  <c:v>1561939</c:v>
                </c:pt>
                <c:pt idx="15">
                  <c:v>1611874</c:v>
                </c:pt>
                <c:pt idx="16">
                  <c:v>1732492</c:v>
                </c:pt>
                <c:pt idx="17">
                  <c:v>1848113</c:v>
                </c:pt>
                <c:pt idx="18">
                  <c:v>1792677</c:v>
                </c:pt>
                <c:pt idx="19">
                  <c:v>1730171</c:v>
                </c:pt>
                <c:pt idx="20">
                  <c:v>1662368</c:v>
                </c:pt>
                <c:pt idx="21">
                  <c:v>1676553</c:v>
                </c:pt>
                <c:pt idx="22">
                  <c:v>1688897</c:v>
                </c:pt>
                <c:pt idx="23">
                  <c:v>1787010</c:v>
                </c:pt>
                <c:pt idx="24">
                  <c:v>1622246</c:v>
                </c:pt>
                <c:pt idx="25">
                  <c:v>1895287</c:v>
                </c:pt>
                <c:pt idx="26">
                  <c:v>1816362</c:v>
                </c:pt>
                <c:pt idx="27">
                  <c:v>1825111</c:v>
                </c:pt>
                <c:pt idx="28">
                  <c:v>1922905</c:v>
                </c:pt>
                <c:pt idx="29">
                  <c:v>2021280</c:v>
                </c:pt>
                <c:pt idx="30">
                  <c:v>1940012</c:v>
                </c:pt>
                <c:pt idx="31">
                  <c:v>1857849</c:v>
                </c:pt>
                <c:pt idx="32">
                  <c:v>1774835</c:v>
                </c:pt>
                <c:pt idx="33">
                  <c:v>1782283</c:v>
                </c:pt>
                <c:pt idx="34">
                  <c:v>1789693</c:v>
                </c:pt>
                <c:pt idx="35">
                  <c:v>1889119</c:v>
                </c:pt>
                <c:pt idx="36">
                  <c:v>1712019</c:v>
                </c:pt>
                <c:pt idx="37">
                  <c:v>1997392</c:v>
                </c:pt>
                <c:pt idx="38">
                  <c:v>1912318</c:v>
                </c:pt>
                <c:pt idx="39">
                  <c:v>1920038</c:v>
                </c:pt>
                <c:pt idx="40">
                  <c:v>2021693</c:v>
                </c:pt>
                <c:pt idx="41">
                  <c:v>2124105</c:v>
                </c:pt>
                <c:pt idx="42">
                  <c:v>2037894</c:v>
                </c:pt>
                <c:pt idx="43">
                  <c:v>1950930</c:v>
                </c:pt>
                <c:pt idx="44">
                  <c:v>1863212</c:v>
                </c:pt>
                <c:pt idx="45">
                  <c:v>1870569</c:v>
                </c:pt>
                <c:pt idx="46">
                  <c:v>1877931</c:v>
                </c:pt>
                <c:pt idx="47">
                  <c:v>1981888</c:v>
                </c:pt>
                <c:pt idx="48">
                  <c:v>1795702</c:v>
                </c:pt>
                <c:pt idx="49">
                  <c:v>2094751</c:v>
                </c:pt>
                <c:pt idx="50">
                  <c:v>2005166</c:v>
                </c:pt>
                <c:pt idx="51">
                  <c:v>2012938</c:v>
                </c:pt>
                <c:pt idx="52">
                  <c:v>2119210</c:v>
                </c:pt>
                <c:pt idx="53">
                  <c:v>2226252</c:v>
                </c:pt>
                <c:pt idx="54">
                  <c:v>2135549</c:v>
                </c:pt>
                <c:pt idx="55">
                  <c:v>2044087</c:v>
                </c:pt>
                <c:pt idx="56">
                  <c:v>1951865</c:v>
                </c:pt>
                <c:pt idx="57">
                  <c:v>1959292</c:v>
                </c:pt>
                <c:pt idx="58">
                  <c:v>1966723</c:v>
                </c:pt>
                <c:pt idx="59">
                  <c:v>2075336</c:v>
                </c:pt>
              </c:numCache>
            </c:numRef>
          </c:val>
        </c:ser>
        <c:axId val="50030001"/>
        <c:axId val="50030002"/>
      </c:area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Tabletten / Monat</a:t>
                </a:r>
              </a:p>
            </c:rich>
          </c:tx>
          <c:layout/>
        </c:title>
        <c:numFmt formatCode="#,##0" sourceLinked="0"/>
        <c:tickLblPos val="nextTo"/>
        <c:crossAx val="5003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65</xdr:row>
      <xdr:rowOff>0</xdr:rowOff>
    </xdr:from>
    <xdr:to>
      <xdr:col>8</xdr:col>
      <xdr:colOff>885825</xdr:colOff>
      <xdr:row>84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69</xdr:row>
      <xdr:rowOff>0</xdr:rowOff>
    </xdr:from>
    <xdr:to>
      <xdr:col>8</xdr:col>
      <xdr:colOff>885825</xdr:colOff>
      <xdr:row>88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69</xdr:row>
      <xdr:rowOff>0</xdr:rowOff>
    </xdr:from>
    <xdr:to>
      <xdr:col>16</xdr:col>
      <xdr:colOff>752475</xdr:colOff>
      <xdr:row>88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0B800"/>
  </sheetPr>
  <dimension ref="B2:E49"/>
  <sheetViews>
    <sheetView showGridLines="0" tabSelected="1" workbookViewId="0"/>
  </sheetViews>
  <sheetFormatPr defaultRowHeight="15"/>
  <cols>
    <col min="1" max="1" width="3.7109375" customWidth="1"/>
    <col min="2" max="2" width="44.7109375" customWidth="1"/>
    <col min="3" max="3" width="18.7109375" customWidth="1"/>
    <col min="4" max="4" width="55.7109375" customWidth="1"/>
  </cols>
  <sheetData>
    <row r="2" spans="2:4">
      <c r="B2" s="1" t="s">
        <v>0</v>
      </c>
      <c r="C2" s="1"/>
      <c r="D2" s="1"/>
    </row>
    <row r="3" spans="2:4">
      <c r="B3" s="2" t="s">
        <v>1</v>
      </c>
      <c r="C3" s="2"/>
      <c r="D3" s="2"/>
    </row>
    <row r="5" spans="2:4">
      <c r="B5" s="3" t="s">
        <v>2</v>
      </c>
      <c r="C5" s="3"/>
      <c r="D5" s="3"/>
    </row>
    <row r="6" spans="2:4">
      <c r="B6" s="4" t="s">
        <v>3</v>
      </c>
      <c r="C6" s="5" t="s">
        <v>4</v>
      </c>
      <c r="D6" s="6" t="s">
        <v>5</v>
      </c>
    </row>
    <row r="7" spans="2:4">
      <c r="B7" s="4" t="s">
        <v>6</v>
      </c>
      <c r="C7" s="5" t="s">
        <v>7</v>
      </c>
      <c r="D7" s="6" t="s">
        <v>8</v>
      </c>
    </row>
    <row r="8" spans="2:4">
      <c r="B8" s="4" t="s">
        <v>9</v>
      </c>
      <c r="C8" s="5" t="s">
        <v>10</v>
      </c>
      <c r="D8" s="6" t="s">
        <v>11</v>
      </c>
    </row>
    <row r="9" spans="2:4">
      <c r="B9" s="4" t="s">
        <v>12</v>
      </c>
      <c r="C9" s="5" t="s">
        <v>13</v>
      </c>
      <c r="D9" s="6" t="s">
        <v>14</v>
      </c>
    </row>
    <row r="10" spans="2:4">
      <c r="B10" s="4" t="s">
        <v>15</v>
      </c>
      <c r="C10" s="7">
        <v>5000000</v>
      </c>
      <c r="D10" s="6" t="s">
        <v>16</v>
      </c>
    </row>
    <row r="11" spans="2:4">
      <c r="B11" s="4" t="s">
        <v>17</v>
      </c>
      <c r="C11" s="8">
        <v>0.3</v>
      </c>
      <c r="D11" s="6" t="s">
        <v>18</v>
      </c>
    </row>
    <row r="12" spans="2:4">
      <c r="B12" s="4" t="s">
        <v>19</v>
      </c>
      <c r="C12" s="7">
        <v>3500000</v>
      </c>
      <c r="D12" s="6" t="s">
        <v>20</v>
      </c>
    </row>
    <row r="14" spans="2:4">
      <c r="B14" s="3" t="s">
        <v>21</v>
      </c>
      <c r="C14" s="3"/>
      <c r="D14" s="3"/>
    </row>
    <row r="15" spans="2:4">
      <c r="B15" s="4" t="s">
        <v>22</v>
      </c>
      <c r="C15" s="7">
        <v>868000</v>
      </c>
      <c r="D15" s="6" t="s">
        <v>23</v>
      </c>
    </row>
    <row r="16" spans="2:4">
      <c r="B16" s="4" t="s">
        <v>24</v>
      </c>
      <c r="C16" s="9">
        <v>11.19</v>
      </c>
      <c r="D16" s="6" t="s">
        <v>25</v>
      </c>
    </row>
    <row r="17" spans="2:4">
      <c r="B17" s="4" t="s">
        <v>26</v>
      </c>
      <c r="C17" s="9">
        <v>1.5</v>
      </c>
      <c r="D17" s="6" t="s">
        <v>27</v>
      </c>
    </row>
    <row r="18" spans="2:4">
      <c r="B18" s="4" t="s">
        <v>28</v>
      </c>
      <c r="C18" s="8">
        <v>0.1</v>
      </c>
      <c r="D18" s="6" t="s">
        <v>29</v>
      </c>
    </row>
    <row r="19" spans="2:4">
      <c r="B19" s="4" t="s">
        <v>30</v>
      </c>
      <c r="C19" s="8">
        <v>0.08</v>
      </c>
      <c r="D19" s="6" t="s">
        <v>31</v>
      </c>
    </row>
    <row r="20" spans="2:4">
      <c r="B20" s="4" t="s">
        <v>32</v>
      </c>
      <c r="C20" s="5" t="s">
        <v>33</v>
      </c>
      <c r="D20" s="6" t="s">
        <v>34</v>
      </c>
    </row>
    <row r="22" spans="2:4">
      <c r="B22" s="3" t="s">
        <v>35</v>
      </c>
      <c r="C22" s="3"/>
      <c r="D22" s="3"/>
    </row>
    <row r="23" spans="2:4">
      <c r="B23" s="4" t="s">
        <v>36</v>
      </c>
      <c r="C23" s="9">
        <v>5.99</v>
      </c>
      <c r="D23" s="6" t="s">
        <v>37</v>
      </c>
    </row>
    <row r="24" spans="2:4">
      <c r="B24" s="4" t="s">
        <v>38</v>
      </c>
      <c r="C24" s="7">
        <v>2100000</v>
      </c>
      <c r="D24" s="6" t="s">
        <v>39</v>
      </c>
    </row>
    <row r="25" spans="2:4">
      <c r="B25" s="4" t="s">
        <v>40</v>
      </c>
      <c r="C25" s="7">
        <v>18</v>
      </c>
      <c r="D25" s="6" t="s">
        <v>41</v>
      </c>
    </row>
    <row r="26" spans="2:4">
      <c r="B26" s="4" t="s">
        <v>42</v>
      </c>
      <c r="C26" s="8">
        <v>0.63</v>
      </c>
      <c r="D26" s="6" t="s">
        <v>43</v>
      </c>
    </row>
    <row r="27" spans="2:4">
      <c r="B27" s="4" t="s">
        <v>44</v>
      </c>
      <c r="C27" s="9">
        <v>-0.5</v>
      </c>
      <c r="D27" s="6" t="s">
        <v>45</v>
      </c>
    </row>
    <row r="28" spans="2:4">
      <c r="B28" s="4" t="s">
        <v>46</v>
      </c>
      <c r="C28" s="8">
        <v>-0.03</v>
      </c>
      <c r="D28" s="6" t="s">
        <v>47</v>
      </c>
    </row>
    <row r="30" spans="2:4">
      <c r="B30" s="3" t="s">
        <v>48</v>
      </c>
      <c r="C30" s="3"/>
      <c r="D30" s="3"/>
    </row>
    <row r="31" spans="2:4">
      <c r="B31" s="4" t="s">
        <v>49</v>
      </c>
      <c r="C31" s="8">
        <v>0.55</v>
      </c>
      <c r="D31" s="6" t="s">
        <v>50</v>
      </c>
    </row>
    <row r="32" spans="2:4">
      <c r="B32" s="4" t="s">
        <v>51</v>
      </c>
      <c r="C32" s="8">
        <v>0.45</v>
      </c>
      <c r="D32" s="6" t="s">
        <v>52</v>
      </c>
    </row>
    <row r="33" spans="2:5">
      <c r="B33" s="4" t="s">
        <v>53</v>
      </c>
      <c r="C33" s="8">
        <v>0.02</v>
      </c>
      <c r="D33" s="6" t="s">
        <v>54</v>
      </c>
    </row>
    <row r="34" spans="2:5">
      <c r="B34" s="4" t="s">
        <v>55</v>
      </c>
      <c r="C34" s="8">
        <v>0.42</v>
      </c>
      <c r="D34" s="6" t="s">
        <v>56</v>
      </c>
    </row>
    <row r="35" spans="2:5">
      <c r="B35" s="4" t="s">
        <v>57</v>
      </c>
      <c r="C35" s="8">
        <v>0.3</v>
      </c>
      <c r="D35" s="6" t="s">
        <v>58</v>
      </c>
    </row>
    <row r="37" spans="2:5">
      <c r="B37" s="3" t="s">
        <v>59</v>
      </c>
      <c r="C37" s="3"/>
      <c r="D37" s="3"/>
    </row>
    <row r="38" spans="2:5">
      <c r="B38" s="4" t="s">
        <v>60</v>
      </c>
      <c r="C38" s="8">
        <v>0.25</v>
      </c>
      <c r="D38" s="6" t="s">
        <v>61</v>
      </c>
    </row>
    <row r="39" spans="2:5">
      <c r="B39" s="4" t="s">
        <v>62</v>
      </c>
      <c r="C39" s="8">
        <v>-0.03</v>
      </c>
      <c r="D39" s="6" t="s">
        <v>63</v>
      </c>
    </row>
    <row r="40" spans="2:5">
      <c r="B40" s="4" t="s">
        <v>64</v>
      </c>
      <c r="C40" s="7">
        <v>1.8</v>
      </c>
      <c r="D40" s="6" t="s">
        <v>65</v>
      </c>
    </row>
    <row r="42" spans="2:5">
      <c r="B42" s="3" t="s">
        <v>66</v>
      </c>
      <c r="C42" s="3"/>
      <c r="D42" s="3"/>
    </row>
    <row r="43" spans="2:5">
      <c r="B43" s="10" t="s">
        <v>67</v>
      </c>
      <c r="C43" s="10" t="s">
        <v>68</v>
      </c>
      <c r="D43" s="10" t="s">
        <v>69</v>
      </c>
      <c r="E43" s="10" t="s">
        <v>70</v>
      </c>
    </row>
    <row r="44" spans="2:5">
      <c r="B44" s="4" t="s">
        <v>71</v>
      </c>
      <c r="C44" s="7">
        <v>1200000</v>
      </c>
      <c r="D44" s="7">
        <v>2100000</v>
      </c>
      <c r="E44" s="7">
        <v>2700000</v>
      </c>
    </row>
    <row r="45" spans="2:5">
      <c r="B45" s="4" t="s">
        <v>40</v>
      </c>
      <c r="C45" s="7">
        <v>24</v>
      </c>
      <c r="D45" s="7">
        <v>18</v>
      </c>
      <c r="E45" s="7">
        <v>12</v>
      </c>
    </row>
    <row r="46" spans="2:5">
      <c r="B46" s="4" t="s">
        <v>72</v>
      </c>
      <c r="C46" s="7">
        <v>300000</v>
      </c>
      <c r="D46" s="7">
        <v>500000</v>
      </c>
      <c r="E46" s="7">
        <v>750000</v>
      </c>
    </row>
    <row r="47" spans="2:5">
      <c r="B47" s="4" t="s">
        <v>73</v>
      </c>
      <c r="C47" s="8">
        <v>0.55</v>
      </c>
      <c r="D47" s="8">
        <v>0.63</v>
      </c>
      <c r="E47" s="8">
        <v>0.7</v>
      </c>
    </row>
    <row r="48" spans="2:5">
      <c r="B48" s="4" t="s">
        <v>74</v>
      </c>
      <c r="C48" s="8">
        <v>0.12</v>
      </c>
      <c r="D48" s="8">
        <v>0.08</v>
      </c>
      <c r="E48" s="8">
        <v>0.05</v>
      </c>
    </row>
    <row r="49" spans="2:5">
      <c r="B49" s="4" t="s">
        <v>75</v>
      </c>
      <c r="C49" s="8">
        <v>0.2</v>
      </c>
      <c r="D49" s="8">
        <v>0.25</v>
      </c>
      <c r="E49" s="8">
        <v>0.35</v>
      </c>
    </row>
  </sheetData>
  <mergeCells count="8">
    <mergeCell ref="B2:D2"/>
    <mergeCell ref="B3:D3"/>
    <mergeCell ref="B5:D5"/>
    <mergeCell ref="B14:D14"/>
    <mergeCell ref="B22:D22"/>
    <mergeCell ref="B30:D30"/>
    <mergeCell ref="B37:D37"/>
    <mergeCell ref="B42:D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5F"/>
  </sheetPr>
  <dimension ref="B2:F34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7" width="18.7109375" customWidth="1"/>
  </cols>
  <sheetData>
    <row r="2" spans="2:6">
      <c r="B2" s="1" t="s">
        <v>76</v>
      </c>
      <c r="C2" s="1"/>
      <c r="D2" s="1"/>
      <c r="E2" s="1"/>
      <c r="F2" s="1"/>
    </row>
    <row r="4" spans="2:6">
      <c r="B4" s="3" t="s">
        <v>77</v>
      </c>
      <c r="C4" s="3"/>
      <c r="D4" s="3"/>
      <c r="E4" s="3"/>
      <c r="F4" s="3"/>
    </row>
    <row r="5" spans="2:6">
      <c r="B5" s="4" t="s">
        <v>78</v>
      </c>
      <c r="C5" s="11" t="s">
        <v>79</v>
      </c>
      <c r="D5" s="11"/>
      <c r="E5" s="11"/>
      <c r="F5" s="11"/>
    </row>
    <row r="6" spans="2:6">
      <c r="B6" s="4" t="s">
        <v>80</v>
      </c>
      <c r="C6" s="11" t="s">
        <v>81</v>
      </c>
      <c r="D6" s="11"/>
      <c r="E6" s="11"/>
      <c r="F6" s="11"/>
    </row>
    <row r="7" spans="2:6">
      <c r="B7" s="4" t="s">
        <v>82</v>
      </c>
      <c r="C7" s="11" t="s">
        <v>83</v>
      </c>
      <c r="D7" s="11"/>
      <c r="E7" s="11"/>
      <c r="F7" s="11"/>
    </row>
    <row r="8" spans="2:6">
      <c r="B8" s="4" t="s">
        <v>84</v>
      </c>
      <c r="C8" s="11" t="s">
        <v>85</v>
      </c>
      <c r="D8" s="11"/>
      <c r="E8" s="11"/>
      <c r="F8" s="11"/>
    </row>
    <row r="9" spans="2:6">
      <c r="B9" s="4" t="s">
        <v>86</v>
      </c>
      <c r="C9" s="11" t="s">
        <v>87</v>
      </c>
      <c r="D9" s="11"/>
      <c r="E9" s="11"/>
      <c r="F9" s="11"/>
    </row>
    <row r="10" spans="2:6">
      <c r="B10" s="4" t="s">
        <v>32</v>
      </c>
      <c r="C10" s="11" t="s">
        <v>88</v>
      </c>
      <c r="D10" s="11"/>
      <c r="E10" s="11"/>
      <c r="F10" s="11"/>
    </row>
    <row r="12" spans="2:6">
      <c r="B12" s="3" t="s">
        <v>89</v>
      </c>
      <c r="C12" s="3"/>
      <c r="D12" s="3"/>
      <c r="E12" s="3"/>
      <c r="F12" s="3"/>
    </row>
    <row r="13" spans="2:6" ht="30" customHeight="1">
      <c r="B13" s="10" t="s">
        <v>6</v>
      </c>
      <c r="C13" s="10" t="s">
        <v>90</v>
      </c>
      <c r="D13" s="10" t="s">
        <v>91</v>
      </c>
      <c r="E13" s="10" t="s">
        <v>92</v>
      </c>
      <c r="F13" s="10" t="s">
        <v>93</v>
      </c>
    </row>
    <row r="14" spans="2:6">
      <c r="B14" s="4" t="s">
        <v>7</v>
      </c>
      <c r="C14" s="12">
        <v>0.55</v>
      </c>
      <c r="D14" s="11" t="s">
        <v>94</v>
      </c>
      <c r="E14" s="13">
        <v>1.5</v>
      </c>
      <c r="F14" s="11" t="s">
        <v>95</v>
      </c>
    </row>
    <row r="15" spans="2:6">
      <c r="B15" s="4" t="s">
        <v>96</v>
      </c>
      <c r="C15" s="12">
        <v>0.36</v>
      </c>
      <c r="D15" s="11" t="s">
        <v>97</v>
      </c>
      <c r="E15" s="13">
        <v>1.8</v>
      </c>
      <c r="F15" s="11" t="s">
        <v>98</v>
      </c>
    </row>
    <row r="16" spans="2:6">
      <c r="B16" s="4" t="s">
        <v>99</v>
      </c>
      <c r="C16" s="12">
        <v>0.04</v>
      </c>
      <c r="D16" s="11" t="s">
        <v>100</v>
      </c>
      <c r="E16" s="13">
        <v>2.5</v>
      </c>
      <c r="F16" s="11" t="s">
        <v>101</v>
      </c>
    </row>
    <row r="17" spans="2:6">
      <c r="B17" s="4" t="s">
        <v>102</v>
      </c>
      <c r="C17" s="12">
        <v>0.01</v>
      </c>
      <c r="D17" s="11" t="s">
        <v>103</v>
      </c>
      <c r="E17" s="13">
        <v>5</v>
      </c>
      <c r="F17" s="11" t="s">
        <v>101</v>
      </c>
    </row>
    <row r="19" spans="2:6">
      <c r="B19" s="3" t="s">
        <v>104</v>
      </c>
      <c r="C19" s="3"/>
      <c r="D19" s="3"/>
      <c r="E19" s="3"/>
      <c r="F19" s="3"/>
    </row>
    <row r="20" spans="2:6">
      <c r="B20" s="4" t="s">
        <v>105</v>
      </c>
      <c r="C20" s="11" t="s">
        <v>106</v>
      </c>
      <c r="D20" s="11"/>
      <c r="E20" s="11"/>
      <c r="F20" s="11"/>
    </row>
    <row r="21" spans="2:6">
      <c r="B21" s="4" t="s">
        <v>107</v>
      </c>
      <c r="C21" s="11" t="s">
        <v>108</v>
      </c>
      <c r="D21" s="11"/>
      <c r="E21" s="11"/>
      <c r="F21" s="11"/>
    </row>
    <row r="22" spans="2:6">
      <c r="B22" s="4" t="s">
        <v>109</v>
      </c>
      <c r="C22" s="11" t="s">
        <v>110</v>
      </c>
      <c r="D22" s="11"/>
      <c r="E22" s="11"/>
      <c r="F22" s="11"/>
    </row>
    <row r="23" spans="2:6">
      <c r="B23" s="4" t="s">
        <v>111</v>
      </c>
      <c r="C23" s="11" t="s">
        <v>112</v>
      </c>
      <c r="D23" s="11"/>
      <c r="E23" s="11"/>
      <c r="F23" s="11"/>
    </row>
    <row r="24" spans="2:6">
      <c r="B24" s="4" t="s">
        <v>113</v>
      </c>
      <c r="C24" s="11" t="s">
        <v>114</v>
      </c>
      <c r="D24" s="11"/>
      <c r="E24" s="11"/>
      <c r="F24" s="11"/>
    </row>
    <row r="25" spans="2:6">
      <c r="B25" s="4" t="s">
        <v>115</v>
      </c>
      <c r="C25" s="11" t="s">
        <v>116</v>
      </c>
      <c r="D25" s="11"/>
      <c r="E25" s="11"/>
      <c r="F25" s="11"/>
    </row>
    <row r="26" spans="2:6">
      <c r="B26" s="4" t="s">
        <v>117</v>
      </c>
      <c r="C26" s="11" t="s">
        <v>118</v>
      </c>
      <c r="D26" s="11"/>
      <c r="E26" s="11"/>
      <c r="F26" s="11"/>
    </row>
    <row r="27" spans="2:6">
      <c r="B27" s="4" t="s">
        <v>119</v>
      </c>
      <c r="C27" s="11" t="s">
        <v>120</v>
      </c>
      <c r="D27" s="11"/>
      <c r="E27" s="11"/>
      <c r="F27" s="11"/>
    </row>
    <row r="29" spans="2:6">
      <c r="B29" s="3" t="s">
        <v>121</v>
      </c>
      <c r="C29" s="3"/>
      <c r="D29" s="3"/>
      <c r="E29" s="3"/>
      <c r="F29" s="3"/>
    </row>
    <row r="30" spans="2:6">
      <c r="B30" s="4" t="s">
        <v>122</v>
      </c>
      <c r="C30" s="11" t="s">
        <v>123</v>
      </c>
      <c r="D30" s="11"/>
      <c r="E30" s="11"/>
      <c r="F30" s="11"/>
    </row>
    <row r="31" spans="2:6">
      <c r="B31" s="4" t="s">
        <v>124</v>
      </c>
      <c r="C31" s="11" t="s">
        <v>125</v>
      </c>
      <c r="D31" s="11"/>
      <c r="E31" s="11"/>
      <c r="F31" s="11"/>
    </row>
    <row r="32" spans="2:6">
      <c r="B32" s="4" t="s">
        <v>126</v>
      </c>
      <c r="C32" s="11" t="s">
        <v>127</v>
      </c>
      <c r="D32" s="11"/>
      <c r="E32" s="11"/>
      <c r="F32" s="11"/>
    </row>
    <row r="33" spans="2:6">
      <c r="B33" s="4" t="s">
        <v>128</v>
      </c>
      <c r="C33" s="11" t="s">
        <v>129</v>
      </c>
      <c r="D33" s="11"/>
      <c r="E33" s="11"/>
      <c r="F33" s="11"/>
    </row>
    <row r="34" spans="2:6">
      <c r="B34" s="4" t="s">
        <v>130</v>
      </c>
      <c r="C34" s="11" t="s">
        <v>131</v>
      </c>
      <c r="D34" s="11"/>
      <c r="E34" s="11"/>
      <c r="F34" s="11"/>
    </row>
  </sheetData>
  <mergeCells count="24">
    <mergeCell ref="B2:F2"/>
    <mergeCell ref="B4:F4"/>
    <mergeCell ref="C5:F5"/>
    <mergeCell ref="C6:F6"/>
    <mergeCell ref="C7:F7"/>
    <mergeCell ref="C8:F8"/>
    <mergeCell ref="C9:F9"/>
    <mergeCell ref="C10:F10"/>
    <mergeCell ref="B12:F12"/>
    <mergeCell ref="B19:F19"/>
    <mergeCell ref="C20:F20"/>
    <mergeCell ref="C21:F21"/>
    <mergeCell ref="C22:F22"/>
    <mergeCell ref="C23:F23"/>
    <mergeCell ref="C24:F24"/>
    <mergeCell ref="C25:F25"/>
    <mergeCell ref="C26:F26"/>
    <mergeCell ref="C27:F27"/>
    <mergeCell ref="B29:F29"/>
    <mergeCell ref="C30:F30"/>
    <mergeCell ref="C31:F31"/>
    <mergeCell ref="C32:F32"/>
    <mergeCell ref="C33:F33"/>
    <mergeCell ref="C34:F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C3AED"/>
  </sheetPr>
  <dimension ref="B2:I64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14" width="14.7109375" customWidth="1"/>
  </cols>
  <sheetData>
    <row r="2" spans="2:9">
      <c r="B2" s="1" t="s">
        <v>132</v>
      </c>
      <c r="C2" s="1"/>
      <c r="D2" s="1"/>
      <c r="E2" s="1"/>
      <c r="F2" s="1"/>
      <c r="G2" s="1"/>
      <c r="H2" s="1"/>
      <c r="I2" s="1"/>
    </row>
    <row r="4" spans="2:9" ht="35" customHeight="1">
      <c r="B4" s="14" t="s">
        <v>133</v>
      </c>
      <c r="C4" s="14" t="s">
        <v>134</v>
      </c>
      <c r="D4" s="14" t="s">
        <v>135</v>
      </c>
      <c r="E4" s="14" t="s">
        <v>136</v>
      </c>
      <c r="F4" s="14" t="s">
        <v>137</v>
      </c>
      <c r="G4" s="14" t="s">
        <v>138</v>
      </c>
      <c r="H4" s="14" t="s">
        <v>139</v>
      </c>
      <c r="I4" s="14" t="s">
        <v>140</v>
      </c>
    </row>
    <row r="5" spans="2:9">
      <c r="B5">
        <v>1</v>
      </c>
      <c r="C5" s="15">
        <v>89067</v>
      </c>
      <c r="D5" s="12">
        <v>0.5374104656196147</v>
      </c>
      <c r="E5" s="16">
        <v>276723</v>
      </c>
      <c r="F5" s="15">
        <v>76667</v>
      </c>
      <c r="G5" s="12">
        <v>0.4625895343803854</v>
      </c>
      <c r="H5" s="16">
        <v>274842</v>
      </c>
      <c r="I5" s="15">
        <v>165734</v>
      </c>
    </row>
    <row r="6" spans="2:9">
      <c r="B6" s="17">
        <v>2</v>
      </c>
      <c r="C6" s="18">
        <v>139420</v>
      </c>
      <c r="D6" s="19">
        <v>0.5357376192342873</v>
      </c>
      <c r="E6" s="20">
        <v>432065</v>
      </c>
      <c r="F6" s="18">
        <v>120819</v>
      </c>
      <c r="G6" s="19">
        <v>0.4642623807657128</v>
      </c>
      <c r="H6" s="20">
        <v>432024</v>
      </c>
      <c r="I6" s="18">
        <v>260238</v>
      </c>
    </row>
    <row r="7" spans="2:9">
      <c r="B7">
        <v>3</v>
      </c>
      <c r="C7" s="15">
        <v>176829</v>
      </c>
      <c r="D7" s="12">
        <v>0.5340650187412724</v>
      </c>
      <c r="E7" s="16">
        <v>546608</v>
      </c>
      <c r="F7" s="15">
        <v>154271</v>
      </c>
      <c r="G7" s="12">
        <v>0.4659349812587275</v>
      </c>
      <c r="H7" s="16">
        <v>550243</v>
      </c>
      <c r="I7" s="15">
        <v>331100</v>
      </c>
    </row>
    <row r="8" spans="2:9">
      <c r="B8" s="17">
        <v>4</v>
      </c>
      <c r="C8" s="18">
        <v>231939</v>
      </c>
      <c r="D8" s="19">
        <v>0.5323926640863587</v>
      </c>
      <c r="E8" s="20">
        <v>715147</v>
      </c>
      <c r="F8" s="18">
        <v>203715</v>
      </c>
      <c r="G8" s="19">
        <v>0.4676073359136413</v>
      </c>
      <c r="H8" s="20">
        <v>724757</v>
      </c>
      <c r="I8" s="18">
        <v>435655</v>
      </c>
    </row>
    <row r="9" spans="2:9">
      <c r="B9">
        <v>5</v>
      </c>
      <c r="C9" s="15">
        <v>313578</v>
      </c>
      <c r="D9" s="12">
        <v>0.5307205552153501</v>
      </c>
      <c r="E9" s="16">
        <v>964415</v>
      </c>
      <c r="F9" s="15">
        <v>277275</v>
      </c>
      <c r="G9" s="12">
        <v>0.4692794447846498</v>
      </c>
      <c r="H9" s="16">
        <v>983960</v>
      </c>
      <c r="I9" s="15">
        <v>590853</v>
      </c>
    </row>
    <row r="10" spans="2:9">
      <c r="B10" s="17">
        <v>6</v>
      </c>
      <c r="C10" s="18">
        <v>414132</v>
      </c>
      <c r="D10" s="19">
        <v>0.5290486920740669</v>
      </c>
      <c r="E10" s="20">
        <v>1270442</v>
      </c>
      <c r="F10" s="18">
        <v>368654</v>
      </c>
      <c r="G10" s="19">
        <v>0.4709513079259331</v>
      </c>
      <c r="H10" s="20">
        <v>1304918</v>
      </c>
      <c r="I10" s="18">
        <v>782786</v>
      </c>
    </row>
    <row r="11" spans="2:9">
      <c r="B11">
        <v>7</v>
      </c>
      <c r="C11" s="15">
        <v>486972</v>
      </c>
      <c r="D11" s="12">
        <v>0.5273770746083449</v>
      </c>
      <c r="E11" s="16">
        <v>1490108</v>
      </c>
      <c r="F11" s="15">
        <v>436413</v>
      </c>
      <c r="G11" s="12">
        <v>0.472622925391655</v>
      </c>
      <c r="H11" s="16">
        <v>1540846</v>
      </c>
      <c r="I11" s="15">
        <v>923385</v>
      </c>
    </row>
    <row r="12" spans="2:9">
      <c r="B12" s="17">
        <v>8</v>
      </c>
      <c r="C12" s="18">
        <v>556391</v>
      </c>
      <c r="D12" s="19">
        <v>0.5257057027640366</v>
      </c>
      <c r="E12" s="20">
        <v>1698211</v>
      </c>
      <c r="F12" s="18">
        <v>501979</v>
      </c>
      <c r="G12" s="19">
        <v>0.4742942972359634</v>
      </c>
      <c r="H12" s="20">
        <v>1767847</v>
      </c>
      <c r="I12" s="18">
        <v>1058370</v>
      </c>
    </row>
    <row r="13" spans="2:9">
      <c r="B13">
        <v>9</v>
      </c>
      <c r="C13" s="15">
        <v>617016</v>
      </c>
      <c r="D13" s="12">
        <v>0.5240345764870094</v>
      </c>
      <c r="E13" s="16">
        <v>1878475</v>
      </c>
      <c r="F13" s="15">
        <v>560418</v>
      </c>
      <c r="G13" s="12">
        <v>0.4759654235129906</v>
      </c>
      <c r="H13" s="16">
        <v>1968651</v>
      </c>
      <c r="I13" s="15">
        <v>1177434</v>
      </c>
    </row>
    <row r="14" spans="2:9">
      <c r="B14" s="17">
        <v>10</v>
      </c>
      <c r="C14" s="18">
        <v>700647</v>
      </c>
      <c r="D14" s="19">
        <v>0.5223636957231473</v>
      </c>
      <c r="E14" s="20">
        <v>2127678</v>
      </c>
      <c r="F14" s="18">
        <v>640654</v>
      </c>
      <c r="G14" s="19">
        <v>0.4776363042768528</v>
      </c>
      <c r="H14" s="20">
        <v>2244803</v>
      </c>
      <c r="I14" s="18">
        <v>1341301</v>
      </c>
    </row>
    <row r="15" spans="2:9">
      <c r="B15">
        <v>11</v>
      </c>
      <c r="C15" s="15">
        <v>776043</v>
      </c>
      <c r="D15" s="12">
        <v>0.5206930604183501</v>
      </c>
      <c r="E15" s="16">
        <v>2350660</v>
      </c>
      <c r="F15" s="15">
        <v>714361</v>
      </c>
      <c r="G15" s="12">
        <v>0.47930693958165</v>
      </c>
      <c r="H15" s="16">
        <v>2496719</v>
      </c>
      <c r="I15" s="15">
        <v>1490403</v>
      </c>
    </row>
    <row r="16" spans="2:9">
      <c r="B16" s="17">
        <v>12</v>
      </c>
      <c r="C16" s="18">
        <v>884315</v>
      </c>
      <c r="D16" s="19">
        <v>0.519022670518533</v>
      </c>
      <c r="E16" s="20">
        <v>2671829</v>
      </c>
      <c r="F16" s="18">
        <v>819493</v>
      </c>
      <c r="G16" s="19">
        <v>0.4809773294814669</v>
      </c>
      <c r="H16" s="20">
        <v>2856899</v>
      </c>
      <c r="I16" s="18">
        <v>1703807</v>
      </c>
    </row>
    <row r="17" spans="2:9">
      <c r="B17">
        <v>13</v>
      </c>
      <c r="C17" s="15">
        <v>848079</v>
      </c>
      <c r="D17" s="12">
        <v>0.517352525969628</v>
      </c>
      <c r="E17" s="16">
        <v>2555852</v>
      </c>
      <c r="F17" s="15">
        <v>791188</v>
      </c>
      <c r="G17" s="12">
        <v>0.482647474030372</v>
      </c>
      <c r="H17" s="16">
        <v>2751231</v>
      </c>
      <c r="I17" s="15">
        <v>1639267</v>
      </c>
    </row>
    <row r="18" spans="2:9">
      <c r="B18" s="17">
        <v>14</v>
      </c>
      <c r="C18" s="18">
        <v>1033408</v>
      </c>
      <c r="D18" s="19">
        <v>0.5156826267175821</v>
      </c>
      <c r="E18" s="20">
        <v>3106483</v>
      </c>
      <c r="F18" s="18">
        <v>970553</v>
      </c>
      <c r="G18" s="19">
        <v>0.4843173732824178</v>
      </c>
      <c r="H18" s="20">
        <v>3366390</v>
      </c>
      <c r="I18" s="18">
        <v>2003961</v>
      </c>
    </row>
    <row r="19" spans="2:9">
      <c r="B19">
        <v>15</v>
      </c>
      <c r="C19" s="15">
        <v>1019501</v>
      </c>
      <c r="D19" s="12">
        <v>0.5140129727083589</v>
      </c>
      <c r="E19" s="16">
        <v>3056908</v>
      </c>
      <c r="F19" s="15">
        <v>963914</v>
      </c>
      <c r="G19" s="12">
        <v>0.4859870272916412</v>
      </c>
      <c r="H19" s="16">
        <v>3334885</v>
      </c>
      <c r="I19" s="15">
        <v>1983414</v>
      </c>
    </row>
    <row r="20" spans="2:9">
      <c r="B20" s="17">
        <v>16</v>
      </c>
      <c r="C20" s="18">
        <v>1045359</v>
      </c>
      <c r="D20" s="19">
        <v>0.5123435638879371</v>
      </c>
      <c r="E20" s="20">
        <v>3126495</v>
      </c>
      <c r="F20" s="18">
        <v>994988</v>
      </c>
      <c r="G20" s="19">
        <v>0.4876564361120628</v>
      </c>
      <c r="H20" s="20">
        <v>3433669</v>
      </c>
      <c r="I20" s="18">
        <v>2040347</v>
      </c>
    </row>
    <row r="21" spans="2:9">
      <c r="B21">
        <v>17</v>
      </c>
      <c r="C21" s="15">
        <v>1116390</v>
      </c>
      <c r="D21" s="12">
        <v>0.5106744002023119</v>
      </c>
      <c r="E21" s="16">
        <v>3330475</v>
      </c>
      <c r="F21" s="15">
        <v>1069719</v>
      </c>
      <c r="G21" s="12">
        <v>0.489325599797688</v>
      </c>
      <c r="H21" s="16">
        <v>3682205</v>
      </c>
      <c r="I21" s="15">
        <v>2186110</v>
      </c>
    </row>
    <row r="22" spans="2:9">
      <c r="B22" s="17">
        <v>18</v>
      </c>
      <c r="C22" s="18">
        <v>1183270</v>
      </c>
      <c r="D22" s="19">
        <v>0.5090054815974943</v>
      </c>
      <c r="E22" s="20">
        <v>3521046</v>
      </c>
      <c r="F22" s="18">
        <v>1141401</v>
      </c>
      <c r="G22" s="19">
        <v>0.4909945184025059</v>
      </c>
      <c r="H22" s="20">
        <v>3918987</v>
      </c>
      <c r="I22" s="18">
        <v>2324671</v>
      </c>
    </row>
    <row r="23" spans="2:9">
      <c r="B23">
        <v>19</v>
      </c>
      <c r="C23" s="15">
        <v>1140428</v>
      </c>
      <c r="D23" s="12">
        <v>0.5073368080195105</v>
      </c>
      <c r="E23" s="16">
        <v>3384958</v>
      </c>
      <c r="F23" s="15">
        <v>1107443</v>
      </c>
      <c r="G23" s="12">
        <v>0.4926631919804895</v>
      </c>
      <c r="H23" s="16">
        <v>3792756</v>
      </c>
      <c r="I23" s="15">
        <v>2247871</v>
      </c>
    </row>
    <row r="24" spans="2:9">
      <c r="B24" s="17">
        <v>20</v>
      </c>
      <c r="C24" s="18">
        <v>1093616</v>
      </c>
      <c r="D24" s="19">
        <v>0.5056683794144035</v>
      </c>
      <c r="E24" s="20">
        <v>3237784</v>
      </c>
      <c r="F24" s="18">
        <v>1069098</v>
      </c>
      <c r="G24" s="19">
        <v>0.4943316205855967</v>
      </c>
      <c r="H24" s="20">
        <v>3652148</v>
      </c>
      <c r="I24" s="18">
        <v>2162714</v>
      </c>
    </row>
    <row r="25" spans="2:9">
      <c r="B25">
        <v>21</v>
      </c>
      <c r="C25" s="15">
        <v>1044029</v>
      </c>
      <c r="D25" s="12">
        <v>0.5040001957282314</v>
      </c>
      <c r="E25" s="16">
        <v>3083141</v>
      </c>
      <c r="F25" s="15">
        <v>1027457</v>
      </c>
      <c r="G25" s="12">
        <v>0.4959998042717687</v>
      </c>
      <c r="H25" s="16">
        <v>3501000</v>
      </c>
      <c r="I25" s="15">
        <v>2071486</v>
      </c>
    </row>
    <row r="26" spans="2:9">
      <c r="B26" s="17">
        <v>22</v>
      </c>
      <c r="C26" s="18">
        <v>1046195</v>
      </c>
      <c r="D26" s="19">
        <v>0.5023322569070686</v>
      </c>
      <c r="E26" s="20">
        <v>3081704</v>
      </c>
      <c r="F26" s="18">
        <v>1036480</v>
      </c>
      <c r="G26" s="19">
        <v>0.4976677430929314</v>
      </c>
      <c r="H26" s="20">
        <v>3522794</v>
      </c>
      <c r="I26" s="18">
        <v>2082675</v>
      </c>
    </row>
    <row r="27" spans="2:9">
      <c r="B27">
        <v>23</v>
      </c>
      <c r="C27" s="15">
        <v>1047146</v>
      </c>
      <c r="D27" s="12">
        <v>0.5006645628970051</v>
      </c>
      <c r="E27" s="16">
        <v>3076688</v>
      </c>
      <c r="F27" s="15">
        <v>1044367</v>
      </c>
      <c r="G27" s="12">
        <v>0.499335437102995</v>
      </c>
      <c r="H27" s="16">
        <v>3540600</v>
      </c>
      <c r="I27" s="15">
        <v>2091513</v>
      </c>
    </row>
    <row r="28" spans="2:9">
      <c r="B28" s="17">
        <v>24</v>
      </c>
      <c r="C28" s="18">
        <v>1100880</v>
      </c>
      <c r="D28" s="19">
        <v>0.4989971136441465</v>
      </c>
      <c r="E28" s="20">
        <v>3226365</v>
      </c>
      <c r="F28" s="18">
        <v>1105305</v>
      </c>
      <c r="G28" s="19">
        <v>0.5010028863558533</v>
      </c>
      <c r="H28" s="20">
        <v>3737693</v>
      </c>
      <c r="I28" s="18">
        <v>2206185</v>
      </c>
    </row>
    <row r="29" spans="2:9">
      <c r="B29">
        <v>25</v>
      </c>
      <c r="C29" s="15">
        <v>992974</v>
      </c>
      <c r="D29" s="12">
        <v>0.4973299090946151</v>
      </c>
      <c r="E29" s="16">
        <v>2902747</v>
      </c>
      <c r="F29" s="15">
        <v>1003636</v>
      </c>
      <c r="G29" s="12">
        <v>0.5026700909053851</v>
      </c>
      <c r="H29" s="16">
        <v>3385288</v>
      </c>
      <c r="I29" s="15">
        <v>1996611</v>
      </c>
    </row>
    <row r="30" spans="2:9">
      <c r="B30" s="17">
        <v>26</v>
      </c>
      <c r="C30" s="18">
        <v>1152667</v>
      </c>
      <c r="D30" s="19">
        <v>0.4956629491945477</v>
      </c>
      <c r="E30" s="20">
        <v>3361033</v>
      </c>
      <c r="F30" s="18">
        <v>1172839</v>
      </c>
      <c r="G30" s="19">
        <v>0.5043370508054522</v>
      </c>
      <c r="H30" s="20">
        <v>3945982</v>
      </c>
      <c r="I30" s="18">
        <v>2325506</v>
      </c>
    </row>
    <row r="31" spans="2:9">
      <c r="B31">
        <v>27</v>
      </c>
      <c r="C31" s="15">
        <v>1097585</v>
      </c>
      <c r="D31" s="12">
        <v>0.4939962338900981</v>
      </c>
      <c r="E31" s="16">
        <v>3192308</v>
      </c>
      <c r="F31" s="15">
        <v>1124264</v>
      </c>
      <c r="G31" s="12">
        <v>0.5060037661099018</v>
      </c>
      <c r="H31" s="16">
        <v>3772965</v>
      </c>
      <c r="I31" s="15">
        <v>2221849</v>
      </c>
    </row>
    <row r="32" spans="2:9">
      <c r="B32" s="17">
        <v>28</v>
      </c>
      <c r="C32" s="18">
        <v>1095800</v>
      </c>
      <c r="D32" s="19">
        <v>0.4923297631274352</v>
      </c>
      <c r="E32" s="20">
        <v>3179038</v>
      </c>
      <c r="F32" s="18">
        <v>1129944</v>
      </c>
      <c r="G32" s="19">
        <v>0.5076702368725649</v>
      </c>
      <c r="H32" s="20">
        <v>3782415</v>
      </c>
      <c r="I32" s="18">
        <v>2225745</v>
      </c>
    </row>
    <row r="33" spans="2:9">
      <c r="B33">
        <v>29</v>
      </c>
      <c r="C33" s="15">
        <v>1147112</v>
      </c>
      <c r="D33" s="12">
        <v>0.4906635368527438</v>
      </c>
      <c r="E33" s="16">
        <v>3319462</v>
      </c>
      <c r="F33" s="15">
        <v>1190767</v>
      </c>
      <c r="G33" s="12">
        <v>0.509336463147256</v>
      </c>
      <c r="H33" s="16">
        <v>3975910</v>
      </c>
      <c r="I33" s="15">
        <v>2337879</v>
      </c>
    </row>
    <row r="34" spans="2:9">
      <c r="B34" s="17">
        <v>30</v>
      </c>
      <c r="C34" s="18">
        <v>1198062</v>
      </c>
      <c r="D34" s="19">
        <v>0.488997555012225</v>
      </c>
      <c r="E34" s="20">
        <v>3458109</v>
      </c>
      <c r="F34" s="18">
        <v>1251975</v>
      </c>
      <c r="G34" s="19">
        <v>0.511002444987775</v>
      </c>
      <c r="H34" s="20">
        <v>4169682</v>
      </c>
      <c r="I34" s="18">
        <v>2450036</v>
      </c>
    </row>
    <row r="35" spans="2:9">
      <c r="B35">
        <v>31</v>
      </c>
      <c r="C35" s="15">
        <v>1142513</v>
      </c>
      <c r="D35" s="12">
        <v>0.4873318175520948</v>
      </c>
      <c r="E35" s="16">
        <v>3289412</v>
      </c>
      <c r="F35" s="15">
        <v>1201912</v>
      </c>
      <c r="G35" s="12">
        <v>0.5126681824479052</v>
      </c>
      <c r="H35" s="16">
        <v>3992802</v>
      </c>
      <c r="I35" s="15">
        <v>2344425</v>
      </c>
    </row>
    <row r="36" spans="2:9">
      <c r="B36" s="17">
        <v>32</v>
      </c>
      <c r="C36" s="18">
        <v>1087102</v>
      </c>
      <c r="D36" s="19">
        <v>0.4856663244185857</v>
      </c>
      <c r="E36" s="20">
        <v>3121944</v>
      </c>
      <c r="F36" s="18">
        <v>1151270</v>
      </c>
      <c r="G36" s="19">
        <v>0.5143336755814142</v>
      </c>
      <c r="H36" s="20">
        <v>3814872</v>
      </c>
      <c r="I36" s="18">
        <v>2238372</v>
      </c>
    </row>
    <row r="37" spans="2:9">
      <c r="B37">
        <v>33</v>
      </c>
      <c r="C37" s="15">
        <v>1031858</v>
      </c>
      <c r="D37" s="12">
        <v>0.4840010755579457</v>
      </c>
      <c r="E37" s="16">
        <v>2955782</v>
      </c>
      <c r="F37" s="15">
        <v>1100075</v>
      </c>
      <c r="G37" s="12">
        <v>0.5159989244420543</v>
      </c>
      <c r="H37" s="16">
        <v>3635991</v>
      </c>
      <c r="I37" s="15">
        <v>2131934</v>
      </c>
    </row>
    <row r="38" spans="2:9">
      <c r="B38" s="17">
        <v>34</v>
      </c>
      <c r="C38" s="18">
        <v>1029532</v>
      </c>
      <c r="D38" s="19">
        <v>0.4823360709164385</v>
      </c>
      <c r="E38" s="20">
        <v>2941644</v>
      </c>
      <c r="F38" s="18">
        <v>1104939</v>
      </c>
      <c r="G38" s="19">
        <v>0.5176639290835614</v>
      </c>
      <c r="H38" s="20">
        <v>3642807</v>
      </c>
      <c r="I38" s="18">
        <v>2134471</v>
      </c>
    </row>
    <row r="39" spans="2:9">
      <c r="B39">
        <v>35</v>
      </c>
      <c r="C39" s="15">
        <v>1027169</v>
      </c>
      <c r="D39" s="12">
        <v>0.4806713104403438</v>
      </c>
      <c r="E39" s="16">
        <v>2927451</v>
      </c>
      <c r="F39" s="15">
        <v>1109778</v>
      </c>
      <c r="G39" s="12">
        <v>0.5193286895596562</v>
      </c>
      <c r="H39" s="16">
        <v>3649486</v>
      </c>
      <c r="I39" s="15">
        <v>2136947</v>
      </c>
    </row>
    <row r="40" spans="2:9">
      <c r="B40" s="17">
        <v>36</v>
      </c>
      <c r="C40" s="18">
        <v>1077263</v>
      </c>
      <c r="D40" s="19">
        <v>0.4790067940759568</v>
      </c>
      <c r="E40" s="20">
        <v>3062436</v>
      </c>
      <c r="F40" s="18">
        <v>1171688</v>
      </c>
      <c r="G40" s="19">
        <v>0.5209932059240431</v>
      </c>
      <c r="H40" s="20">
        <v>3843308</v>
      </c>
      <c r="I40" s="18">
        <v>2248951</v>
      </c>
    </row>
    <row r="41" spans="2:9">
      <c r="B41">
        <v>37</v>
      </c>
      <c r="C41" s="15">
        <v>969993</v>
      </c>
      <c r="D41" s="12">
        <v>0.4773425217695886</v>
      </c>
      <c r="E41" s="16">
        <v>2750501</v>
      </c>
      <c r="F41" s="15">
        <v>1062077</v>
      </c>
      <c r="G41" s="12">
        <v>0.5226574782304114</v>
      </c>
      <c r="H41" s="16">
        <v>3474936</v>
      </c>
      <c r="I41" s="15">
        <v>2032070</v>
      </c>
    </row>
    <row r="42" spans="2:9">
      <c r="B42" s="17">
        <v>38</v>
      </c>
      <c r="C42" s="18">
        <v>1124399</v>
      </c>
      <c r="D42" s="19">
        <v>0.475678493467566</v>
      </c>
      <c r="E42" s="20">
        <v>3180248</v>
      </c>
      <c r="F42" s="18">
        <v>1239380</v>
      </c>
      <c r="G42" s="19">
        <v>0.5243215065324341</v>
      </c>
      <c r="H42" s="20">
        <v>4044762</v>
      </c>
      <c r="I42" s="18">
        <v>2363778</v>
      </c>
    </row>
    <row r="43" spans="2:9">
      <c r="B43">
        <v>39</v>
      </c>
      <c r="C43" s="15">
        <v>1069577</v>
      </c>
      <c r="D43" s="12">
        <v>0.4740147091162314</v>
      </c>
      <c r="E43" s="16">
        <v>3017522</v>
      </c>
      <c r="F43" s="15">
        <v>1186845</v>
      </c>
      <c r="G43" s="12">
        <v>0.5259852908837687</v>
      </c>
      <c r="H43" s="16">
        <v>3863492</v>
      </c>
      <c r="I43" s="15">
        <v>2256422</v>
      </c>
    </row>
    <row r="44" spans="2:9">
      <c r="B44" s="17">
        <v>40</v>
      </c>
      <c r="C44" s="18">
        <v>1066979</v>
      </c>
      <c r="D44" s="19">
        <v>0.4723511686619432</v>
      </c>
      <c r="E44" s="20">
        <v>3002561</v>
      </c>
      <c r="F44" s="18">
        <v>1191889</v>
      </c>
      <c r="G44" s="19">
        <v>0.5276488313380568</v>
      </c>
      <c r="H44" s="20">
        <v>3870078</v>
      </c>
      <c r="I44" s="18">
        <v>2258868</v>
      </c>
    </row>
    <row r="45" spans="2:9">
      <c r="B45">
        <v>41</v>
      </c>
      <c r="C45" s="15">
        <v>1116230</v>
      </c>
      <c r="D45" s="12">
        <v>0.4706878720510754</v>
      </c>
      <c r="E45" s="16">
        <v>3133194</v>
      </c>
      <c r="F45" s="15">
        <v>1255257</v>
      </c>
      <c r="G45" s="12">
        <v>0.5293121279489247</v>
      </c>
      <c r="H45" s="16">
        <v>4065501</v>
      </c>
      <c r="I45" s="15">
        <v>2371487</v>
      </c>
    </row>
    <row r="46" spans="2:9">
      <c r="B46" s="17">
        <v>42</v>
      </c>
      <c r="C46" s="18">
        <v>1165214</v>
      </c>
      <c r="D46" s="19">
        <v>0.4690248192300176</v>
      </c>
      <c r="E46" s="20">
        <v>3262398</v>
      </c>
      <c r="F46" s="18">
        <v>1319119</v>
      </c>
      <c r="G46" s="19">
        <v>0.5309751807699824</v>
      </c>
      <c r="H46" s="20">
        <v>4261507</v>
      </c>
      <c r="I46" s="18">
        <v>2484333</v>
      </c>
    </row>
    <row r="47" spans="2:9">
      <c r="B47">
        <v>43</v>
      </c>
      <c r="C47" s="15">
        <v>1110711</v>
      </c>
      <c r="D47" s="12">
        <v>0.4673620101451754</v>
      </c>
      <c r="E47" s="16">
        <v>3101915</v>
      </c>
      <c r="F47" s="15">
        <v>1265843</v>
      </c>
      <c r="G47" s="12">
        <v>0.5326379898548247</v>
      </c>
      <c r="H47" s="16">
        <v>4079026</v>
      </c>
      <c r="I47" s="15">
        <v>2376553</v>
      </c>
    </row>
    <row r="48" spans="2:9">
      <c r="B48" s="17">
        <v>44</v>
      </c>
      <c r="C48" s="18">
        <v>1056450</v>
      </c>
      <c r="D48" s="19">
        <v>0.4656994447429698</v>
      </c>
      <c r="E48" s="20">
        <v>2942900</v>
      </c>
      <c r="F48" s="18">
        <v>1212073</v>
      </c>
      <c r="G48" s="19">
        <v>0.5343005552570302</v>
      </c>
      <c r="H48" s="20">
        <v>3895860</v>
      </c>
      <c r="I48" s="18">
        <v>2268523</v>
      </c>
    </row>
    <row r="49" spans="2:9">
      <c r="B49">
        <v>45</v>
      </c>
      <c r="C49" s="15">
        <v>1002434</v>
      </c>
      <c r="D49" s="12">
        <v>0.4640371229698376</v>
      </c>
      <c r="E49" s="16">
        <v>2785352</v>
      </c>
      <c r="F49" s="15">
        <v>1157811</v>
      </c>
      <c r="G49" s="12">
        <v>0.5359628770301624</v>
      </c>
      <c r="H49" s="16">
        <v>3712017</v>
      </c>
      <c r="I49" s="15">
        <v>2160246</v>
      </c>
    </row>
    <row r="50" spans="2:9">
      <c r="B50" s="17">
        <v>46</v>
      </c>
      <c r="C50" s="18">
        <v>999889</v>
      </c>
      <c r="D50" s="19">
        <v>0.4623750447722315</v>
      </c>
      <c r="E50" s="20">
        <v>2771238</v>
      </c>
      <c r="F50" s="18">
        <v>1162618</v>
      </c>
      <c r="G50" s="19">
        <v>0.5376249552277685</v>
      </c>
      <c r="H50" s="20">
        <v>3717977</v>
      </c>
      <c r="I50" s="18">
        <v>2162507</v>
      </c>
    </row>
    <row r="51" spans="2:9">
      <c r="B51">
        <v>47</v>
      </c>
      <c r="C51" s="15">
        <v>997334</v>
      </c>
      <c r="D51" s="12">
        <v>0.4607132100966195</v>
      </c>
      <c r="E51" s="16">
        <v>2757149</v>
      </c>
      <c r="F51" s="15">
        <v>1167428</v>
      </c>
      <c r="G51" s="12">
        <v>0.5392867899033804</v>
      </c>
      <c r="H51" s="16">
        <v>3723894</v>
      </c>
      <c r="I51" s="15">
        <v>2164762</v>
      </c>
    </row>
    <row r="52" spans="2:9">
      <c r="B52" s="17">
        <v>48</v>
      </c>
      <c r="C52" s="18">
        <v>1045734</v>
      </c>
      <c r="D52" s="19">
        <v>0.4590516188894858</v>
      </c>
      <c r="E52" s="20">
        <v>2883622</v>
      </c>
      <c r="F52" s="18">
        <v>1232298</v>
      </c>
      <c r="G52" s="19">
        <v>0.5409483811105142</v>
      </c>
      <c r="H52" s="20">
        <v>3920853</v>
      </c>
      <c r="I52" s="18">
        <v>2278032</v>
      </c>
    </row>
    <row r="53" spans="2:9">
      <c r="B53">
        <v>49</v>
      </c>
      <c r="C53" s="15">
        <v>941360</v>
      </c>
      <c r="D53" s="12">
        <v>0.4573902710973297</v>
      </c>
      <c r="E53" s="16">
        <v>2589229</v>
      </c>
      <c r="F53" s="15">
        <v>1116751</v>
      </c>
      <c r="G53" s="12">
        <v>0.5426097289026702</v>
      </c>
      <c r="H53" s="16">
        <v>3544207</v>
      </c>
      <c r="I53" s="15">
        <v>2058111</v>
      </c>
    </row>
    <row r="54" spans="2:9">
      <c r="B54" s="17">
        <v>50</v>
      </c>
      <c r="C54" s="18">
        <v>1091016</v>
      </c>
      <c r="D54" s="19">
        <v>0.4557291666666667</v>
      </c>
      <c r="E54" s="20">
        <v>2993253</v>
      </c>
      <c r="F54" s="18">
        <v>1302985</v>
      </c>
      <c r="G54" s="19">
        <v>0.5442708333333333</v>
      </c>
      <c r="H54" s="20">
        <v>4124769</v>
      </c>
      <c r="I54" s="18">
        <v>2394001</v>
      </c>
    </row>
    <row r="55" spans="2:9">
      <c r="B55">
        <v>51</v>
      </c>
      <c r="C55" s="15">
        <v>1037587</v>
      </c>
      <c r="D55" s="12">
        <v>0.4540683055440276</v>
      </c>
      <c r="E55" s="16">
        <v>2839451</v>
      </c>
      <c r="F55" s="15">
        <v>1247503</v>
      </c>
      <c r="G55" s="12">
        <v>0.5459316944559724</v>
      </c>
      <c r="H55" s="16">
        <v>3939122</v>
      </c>
      <c r="I55" s="15">
        <v>2285089</v>
      </c>
    </row>
    <row r="56" spans="2:9">
      <c r="B56" s="17">
        <v>52</v>
      </c>
      <c r="C56" s="18">
        <v>1034850</v>
      </c>
      <c r="D56" s="19">
        <v>0.4524076876759589</v>
      </c>
      <c r="E56" s="20">
        <v>2824784</v>
      </c>
      <c r="F56" s="18">
        <v>1252579</v>
      </c>
      <c r="G56" s="19">
        <v>0.5475923123240409</v>
      </c>
      <c r="H56" s="20">
        <v>3945123</v>
      </c>
      <c r="I56" s="18">
        <v>2287429</v>
      </c>
    </row>
    <row r="57" spans="2:9">
      <c r="B57">
        <v>53</v>
      </c>
      <c r="C57" s="15">
        <v>1082411</v>
      </c>
      <c r="D57" s="12">
        <v>0.4507473130090231</v>
      </c>
      <c r="E57" s="16">
        <v>2947119</v>
      </c>
      <c r="F57" s="15">
        <v>1318959</v>
      </c>
      <c r="G57" s="12">
        <v>0.5492526869909768</v>
      </c>
      <c r="H57" s="16">
        <v>4143665</v>
      </c>
      <c r="I57" s="15">
        <v>2401371</v>
      </c>
    </row>
    <row r="58" spans="2:9">
      <c r="B58" s="17">
        <v>54</v>
      </c>
      <c r="C58" s="18">
        <v>1129696</v>
      </c>
      <c r="D58" s="19">
        <v>0.4490871814897979</v>
      </c>
      <c r="E58" s="20">
        <v>3068066</v>
      </c>
      <c r="F58" s="18">
        <v>1385843</v>
      </c>
      <c r="G58" s="19">
        <v>0.550912818510202</v>
      </c>
      <c r="H58" s="20">
        <v>4342750</v>
      </c>
      <c r="I58" s="18">
        <v>2515539</v>
      </c>
    </row>
    <row r="59" spans="2:9">
      <c r="B59">
        <v>55</v>
      </c>
      <c r="C59" s="15">
        <v>1076623</v>
      </c>
      <c r="D59" s="12">
        <v>0.447427293064877</v>
      </c>
      <c r="E59" s="16">
        <v>2916515</v>
      </c>
      <c r="F59" s="15">
        <v>1329629</v>
      </c>
      <c r="G59" s="12">
        <v>0.5525727069351229</v>
      </c>
      <c r="H59" s="16">
        <v>4156034</v>
      </c>
      <c r="I59" s="15">
        <v>2406252</v>
      </c>
    </row>
    <row r="60" spans="2:9">
      <c r="B60" s="17">
        <v>56</v>
      </c>
      <c r="C60" s="18">
        <v>1023806</v>
      </c>
      <c r="D60" s="19">
        <v>0.4457676476808694</v>
      </c>
      <c r="E60" s="20">
        <v>2766407</v>
      </c>
      <c r="F60" s="18">
        <v>1272920</v>
      </c>
      <c r="G60" s="19">
        <v>0.5542323523191305</v>
      </c>
      <c r="H60" s="20">
        <v>3968692</v>
      </c>
      <c r="I60" s="18">
        <v>2296727</v>
      </c>
    </row>
    <row r="61" spans="2:9">
      <c r="B61">
        <v>57</v>
      </c>
      <c r="C61" s="15">
        <v>971249</v>
      </c>
      <c r="D61" s="12">
        <v>0.4441082452844001</v>
      </c>
      <c r="E61" s="16">
        <v>2617739</v>
      </c>
      <c r="F61" s="15">
        <v>1215715</v>
      </c>
      <c r="G61" s="12">
        <v>0.5558917547155998</v>
      </c>
      <c r="H61" s="16">
        <v>3780731</v>
      </c>
      <c r="I61" s="15">
        <v>2186964</v>
      </c>
    </row>
    <row r="62" spans="2:9">
      <c r="B62" s="17">
        <v>58</v>
      </c>
      <c r="C62" s="18">
        <v>968589</v>
      </c>
      <c r="D62" s="19">
        <v>0.4424490858221095</v>
      </c>
      <c r="E62" s="20">
        <v>2603951</v>
      </c>
      <c r="F62" s="18">
        <v>1220564</v>
      </c>
      <c r="G62" s="19">
        <v>0.5575509141778905</v>
      </c>
      <c r="H62" s="20">
        <v>3786187</v>
      </c>
      <c r="I62" s="18">
        <v>2189153</v>
      </c>
    </row>
    <row r="63" spans="2:9">
      <c r="B63">
        <v>59</v>
      </c>
      <c r="C63" s="15">
        <v>965919</v>
      </c>
      <c r="D63" s="12">
        <v>0.4407901692406536</v>
      </c>
      <c r="E63" s="16">
        <v>2590192</v>
      </c>
      <c r="F63" s="15">
        <v>1225416</v>
      </c>
      <c r="G63" s="12">
        <v>0.5592098307593465</v>
      </c>
      <c r="H63" s="16">
        <v>3791602</v>
      </c>
      <c r="I63" s="15">
        <v>2191335</v>
      </c>
    </row>
    <row r="64" spans="2:9">
      <c r="B64" s="17">
        <v>60</v>
      </c>
      <c r="C64" s="18">
        <v>1012606</v>
      </c>
      <c r="D64" s="19">
        <v>0.4391314954867041</v>
      </c>
      <c r="E64" s="20">
        <v>2708503</v>
      </c>
      <c r="F64" s="18">
        <v>1293323</v>
      </c>
      <c r="G64" s="19">
        <v>0.5608685045132958</v>
      </c>
      <c r="H64" s="20">
        <v>3991570</v>
      </c>
      <c r="I64" s="18">
        <v>2305929</v>
      </c>
    </row>
  </sheetData>
  <mergeCells count="1">
    <mergeCell ref="B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D9488"/>
  </sheetPr>
  <dimension ref="B2:P68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17" width="14.7109375" customWidth="1"/>
  </cols>
  <sheetData>
    <row r="2" spans="2:16">
      <c r="B2" s="1" t="s">
        <v>141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2:16">
      <c r="B4" s="21" t="s">
        <v>142</v>
      </c>
      <c r="C4" s="21"/>
      <c r="D4" s="21" t="s">
        <v>143</v>
      </c>
      <c r="E4" s="21"/>
      <c r="F4" s="21" t="s">
        <v>144</v>
      </c>
      <c r="G4" s="21"/>
      <c r="H4" s="21" t="s">
        <v>145</v>
      </c>
      <c r="I4" s="21"/>
      <c r="J4" s="21" t="s">
        <v>146</v>
      </c>
      <c r="K4" s="21"/>
    </row>
    <row r="5" spans="2:16">
      <c r="B5" s="22">
        <v>39715677</v>
      </c>
      <c r="C5" s="22"/>
      <c r="D5" s="22">
        <v>527969495</v>
      </c>
      <c r="E5" s="22"/>
      <c r="F5" s="22">
        <v>445113156</v>
      </c>
      <c r="G5" s="22"/>
      <c r="H5" s="23">
        <v>0.5010028863558533</v>
      </c>
      <c r="I5" s="23"/>
      <c r="J5" s="24" t="s">
        <v>147</v>
      </c>
      <c r="K5" s="24"/>
    </row>
    <row r="8" spans="2:16" ht="35" customHeight="1">
      <c r="B8" s="25" t="s">
        <v>133</v>
      </c>
      <c r="C8" s="25" t="s">
        <v>148</v>
      </c>
      <c r="D8" s="25" t="s">
        <v>149</v>
      </c>
      <c r="E8" s="25" t="s">
        <v>150</v>
      </c>
      <c r="F8" s="25" t="s">
        <v>151</v>
      </c>
      <c r="G8" s="25" t="s">
        <v>152</v>
      </c>
      <c r="H8" s="25" t="s">
        <v>153</v>
      </c>
      <c r="I8" s="25" t="s">
        <v>154</v>
      </c>
      <c r="J8" s="25" t="s">
        <v>155</v>
      </c>
      <c r="K8" s="25" t="s">
        <v>156</v>
      </c>
      <c r="L8" s="25" t="s">
        <v>157</v>
      </c>
      <c r="M8" s="25" t="s">
        <v>158</v>
      </c>
      <c r="N8" s="25" t="s">
        <v>159</v>
      </c>
      <c r="O8" s="25" t="s">
        <v>160</v>
      </c>
      <c r="P8" s="25" t="s">
        <v>161</v>
      </c>
    </row>
    <row r="9" spans="2:16">
      <c r="B9">
        <v>1</v>
      </c>
      <c r="C9" s="15">
        <v>776210</v>
      </c>
      <c r="D9" s="16">
        <v>1916462</v>
      </c>
      <c r="E9" s="15">
        <v>165734</v>
      </c>
      <c r="F9" s="13">
        <v>5.97</v>
      </c>
      <c r="G9" s="16">
        <v>1186295</v>
      </c>
      <c r="H9" s="16">
        <v>660775</v>
      </c>
      <c r="I9" s="15">
        <v>41019</v>
      </c>
      <c r="J9" s="15">
        <v>124715</v>
      </c>
      <c r="K9" s="12">
        <v>0.2475</v>
      </c>
      <c r="L9" s="26">
        <v>0.9</v>
      </c>
      <c r="M9" s="16">
        <v>2577237</v>
      </c>
      <c r="N9" s="16">
        <v>1767969</v>
      </c>
      <c r="O9" s="16">
        <v>2577237</v>
      </c>
      <c r="P9" s="16">
        <v>1767969</v>
      </c>
    </row>
    <row r="10" spans="2:16">
      <c r="B10" s="17">
        <v>2</v>
      </c>
      <c r="C10" s="18">
        <v>900221</v>
      </c>
      <c r="D10" s="20">
        <v>2222646</v>
      </c>
      <c r="E10" s="18">
        <v>260238</v>
      </c>
      <c r="F10" s="20">
        <v>5.96</v>
      </c>
      <c r="G10" s="20">
        <v>1854916</v>
      </c>
      <c r="H10" s="20">
        <v>1033450</v>
      </c>
      <c r="I10" s="18">
        <v>63758</v>
      </c>
      <c r="J10" s="18">
        <v>196480</v>
      </c>
      <c r="K10" s="19">
        <v>0.245</v>
      </c>
      <c r="L10" s="17">
        <v>1.05</v>
      </c>
      <c r="M10" s="20">
        <v>3256096</v>
      </c>
      <c r="N10" s="20">
        <v>2365365</v>
      </c>
      <c r="O10" s="20">
        <v>5833334</v>
      </c>
      <c r="P10" s="20">
        <v>4133334</v>
      </c>
    </row>
    <row r="11" spans="2:16">
      <c r="B11">
        <v>3</v>
      </c>
      <c r="C11" s="15">
        <v>852659</v>
      </c>
      <c r="D11" s="16">
        <v>2105215</v>
      </c>
      <c r="E11" s="15">
        <v>331100</v>
      </c>
      <c r="F11" s="13">
        <v>5.94</v>
      </c>
      <c r="G11" s="16">
        <v>2350082</v>
      </c>
      <c r="H11" s="16">
        <v>1309641</v>
      </c>
      <c r="I11" s="15">
        <v>80292</v>
      </c>
      <c r="J11" s="15">
        <v>250808</v>
      </c>
      <c r="K11" s="12">
        <v>0.2425</v>
      </c>
      <c r="L11" s="26">
        <v>1</v>
      </c>
      <c r="M11" s="16">
        <v>3414857</v>
      </c>
      <c r="N11" s="16">
        <v>2505074</v>
      </c>
      <c r="O11" s="16">
        <v>9248190</v>
      </c>
      <c r="P11" s="16">
        <v>6638408</v>
      </c>
    </row>
    <row r="12" spans="2:16">
      <c r="B12" s="17">
        <v>4</v>
      </c>
      <c r="C12" s="18">
        <v>848340</v>
      </c>
      <c r="D12" s="20">
        <v>2094550</v>
      </c>
      <c r="E12" s="18">
        <v>435655</v>
      </c>
      <c r="F12" s="20">
        <v>5.93</v>
      </c>
      <c r="G12" s="20">
        <v>3079186</v>
      </c>
      <c r="H12" s="20">
        <v>1716365</v>
      </c>
      <c r="I12" s="18">
        <v>104557</v>
      </c>
      <c r="J12" s="18">
        <v>331098</v>
      </c>
      <c r="K12" s="19">
        <v>0.24</v>
      </c>
      <c r="L12" s="17">
        <v>1</v>
      </c>
      <c r="M12" s="20">
        <v>3810915</v>
      </c>
      <c r="N12" s="20">
        <v>2853605</v>
      </c>
      <c r="O12" s="20">
        <v>13059106</v>
      </c>
      <c r="P12" s="20">
        <v>9492013</v>
      </c>
    </row>
    <row r="13" spans="2:16">
      <c r="B13">
        <v>5</v>
      </c>
      <c r="C13" s="15">
        <v>886583</v>
      </c>
      <c r="D13" s="16">
        <v>2188974</v>
      </c>
      <c r="E13" s="15">
        <v>590853</v>
      </c>
      <c r="F13" s="13">
        <v>5.91</v>
      </c>
      <c r="G13" s="16">
        <v>4158548</v>
      </c>
      <c r="H13" s="16">
        <v>2318566</v>
      </c>
      <c r="I13" s="15">
        <v>140328</v>
      </c>
      <c r="J13" s="15">
        <v>450525</v>
      </c>
      <c r="K13" s="12">
        <v>0.2375</v>
      </c>
      <c r="L13" s="26">
        <v>1.05</v>
      </c>
      <c r="M13" s="16">
        <v>4507540</v>
      </c>
      <c r="N13" s="16">
        <v>3466635</v>
      </c>
      <c r="O13" s="16">
        <v>17566646</v>
      </c>
      <c r="P13" s="16">
        <v>12958648</v>
      </c>
    </row>
    <row r="14" spans="2:16">
      <c r="B14" s="17">
        <v>6</v>
      </c>
      <c r="C14" s="18">
        <v>924778</v>
      </c>
      <c r="D14" s="20">
        <v>2283277</v>
      </c>
      <c r="E14" s="18">
        <v>782786</v>
      </c>
      <c r="F14" s="20">
        <v>5.9</v>
      </c>
      <c r="G14" s="20">
        <v>5486210</v>
      </c>
      <c r="H14" s="20">
        <v>3059528</v>
      </c>
      <c r="I14" s="18">
        <v>183955</v>
      </c>
      <c r="J14" s="18">
        <v>598831</v>
      </c>
      <c r="K14" s="19">
        <v>0.235</v>
      </c>
      <c r="L14" s="17">
        <v>1.1</v>
      </c>
      <c r="M14" s="20">
        <v>5342806</v>
      </c>
      <c r="N14" s="20">
        <v>4201669</v>
      </c>
      <c r="O14" s="20">
        <v>22909451</v>
      </c>
      <c r="P14" s="20">
        <v>17160317</v>
      </c>
    </row>
    <row r="15" spans="2:16">
      <c r="B15">
        <v>7</v>
      </c>
      <c r="C15" s="15">
        <v>879209</v>
      </c>
      <c r="D15" s="16">
        <v>2170768</v>
      </c>
      <c r="E15" s="15">
        <v>923385</v>
      </c>
      <c r="F15" s="13">
        <v>5.88</v>
      </c>
      <c r="G15" s="16">
        <v>6444331</v>
      </c>
      <c r="H15" s="16">
        <v>3594711</v>
      </c>
      <c r="I15" s="15">
        <v>214687</v>
      </c>
      <c r="J15" s="15">
        <v>708698</v>
      </c>
      <c r="K15" s="12">
        <v>0.2325</v>
      </c>
      <c r="L15" s="26">
        <v>1.05</v>
      </c>
      <c r="M15" s="16">
        <v>5765479</v>
      </c>
      <c r="N15" s="16">
        <v>4573621</v>
      </c>
      <c r="O15" s="16">
        <v>28674930</v>
      </c>
      <c r="P15" s="16">
        <v>21733938</v>
      </c>
    </row>
    <row r="16" spans="2:16">
      <c r="B16" s="17">
        <v>8</v>
      </c>
      <c r="C16" s="18">
        <v>834246</v>
      </c>
      <c r="D16" s="20">
        <v>2059752</v>
      </c>
      <c r="E16" s="18">
        <v>1058370</v>
      </c>
      <c r="F16" s="20">
        <v>5.87</v>
      </c>
      <c r="G16" s="20">
        <v>7355245</v>
      </c>
      <c r="H16" s="20">
        <v>4103812</v>
      </c>
      <c r="I16" s="18">
        <v>243425</v>
      </c>
      <c r="J16" s="18">
        <v>814945</v>
      </c>
      <c r="K16" s="19">
        <v>0.23</v>
      </c>
      <c r="L16" s="17">
        <v>1</v>
      </c>
      <c r="M16" s="20">
        <v>6163564</v>
      </c>
      <c r="N16" s="20">
        <v>4923936</v>
      </c>
      <c r="O16" s="20">
        <v>34838494</v>
      </c>
      <c r="P16" s="20">
        <v>26657875</v>
      </c>
    </row>
    <row r="17" spans="2:16">
      <c r="B17">
        <v>9</v>
      </c>
      <c r="C17" s="15">
        <v>789826</v>
      </c>
      <c r="D17" s="16">
        <v>1950081</v>
      </c>
      <c r="E17" s="15">
        <v>1177434</v>
      </c>
      <c r="F17" s="13">
        <v>5.85</v>
      </c>
      <c r="G17" s="16">
        <v>8148160</v>
      </c>
      <c r="H17" s="16">
        <v>4547302</v>
      </c>
      <c r="I17" s="15">
        <v>267866</v>
      </c>
      <c r="J17" s="15">
        <v>909568</v>
      </c>
      <c r="K17" s="12">
        <v>0.2275</v>
      </c>
      <c r="L17" s="26">
        <v>0.95</v>
      </c>
      <c r="M17" s="16">
        <v>6497384</v>
      </c>
      <c r="N17" s="16">
        <v>5217698</v>
      </c>
      <c r="O17" s="16">
        <v>41335878</v>
      </c>
      <c r="P17" s="16">
        <v>31875572</v>
      </c>
    </row>
    <row r="18" spans="2:16">
      <c r="B18" s="17">
        <v>10</v>
      </c>
      <c r="C18" s="18">
        <v>787336</v>
      </c>
      <c r="D18" s="20">
        <v>1943932</v>
      </c>
      <c r="E18" s="18">
        <v>1341301</v>
      </c>
      <c r="F18" s="20">
        <v>5.84</v>
      </c>
      <c r="G18" s="20">
        <v>9242973</v>
      </c>
      <c r="H18" s="20">
        <v>5159528</v>
      </c>
      <c r="I18" s="18">
        <v>301793</v>
      </c>
      <c r="J18" s="18">
        <v>1039508</v>
      </c>
      <c r="K18" s="19">
        <v>0.225</v>
      </c>
      <c r="L18" s="17">
        <v>0.95</v>
      </c>
      <c r="M18" s="20">
        <v>7103460</v>
      </c>
      <c r="N18" s="20">
        <v>5751045</v>
      </c>
      <c r="O18" s="20">
        <v>48439338</v>
      </c>
      <c r="P18" s="20">
        <v>37626617</v>
      </c>
    </row>
    <row r="19" spans="2:16">
      <c r="B19">
        <v>11</v>
      </c>
      <c r="C19" s="15">
        <v>785044</v>
      </c>
      <c r="D19" s="16">
        <v>1938273</v>
      </c>
      <c r="E19" s="15">
        <v>1490403</v>
      </c>
      <c r="F19" s="13">
        <v>5.83</v>
      </c>
      <c r="G19" s="16">
        <v>10227043</v>
      </c>
      <c r="H19" s="16">
        <v>5710214</v>
      </c>
      <c r="I19" s="15">
        <v>331615</v>
      </c>
      <c r="J19" s="15">
        <v>1158788</v>
      </c>
      <c r="K19" s="12">
        <v>0.2225</v>
      </c>
      <c r="L19" s="26">
        <v>0.95</v>
      </c>
      <c r="M19" s="16">
        <v>7648487</v>
      </c>
      <c r="N19" s="16">
        <v>6230668</v>
      </c>
      <c r="O19" s="16">
        <v>56087824</v>
      </c>
      <c r="P19" s="16">
        <v>43857285</v>
      </c>
    </row>
    <row r="20" spans="2:16">
      <c r="B20" s="17">
        <v>12</v>
      </c>
      <c r="C20" s="18">
        <v>824142</v>
      </c>
      <c r="D20" s="20">
        <v>2034806</v>
      </c>
      <c r="E20" s="18">
        <v>1703807</v>
      </c>
      <c r="F20" s="20">
        <v>5.81</v>
      </c>
      <c r="G20" s="20">
        <v>11641968</v>
      </c>
      <c r="H20" s="20">
        <v>6501785</v>
      </c>
      <c r="I20" s="18">
        <v>374838</v>
      </c>
      <c r="J20" s="18">
        <v>1328969</v>
      </c>
      <c r="K20" s="19">
        <v>0.22</v>
      </c>
      <c r="L20" s="17">
        <v>1</v>
      </c>
      <c r="M20" s="20">
        <v>8536592</v>
      </c>
      <c r="N20" s="20">
        <v>7012201</v>
      </c>
      <c r="O20" s="20">
        <v>64624416</v>
      </c>
      <c r="P20" s="20">
        <v>50869486</v>
      </c>
    </row>
    <row r="21" spans="2:16">
      <c r="B21">
        <v>13</v>
      </c>
      <c r="C21" s="15">
        <v>739889</v>
      </c>
      <c r="D21" s="16">
        <v>1826787</v>
      </c>
      <c r="E21" s="15">
        <v>1639267</v>
      </c>
      <c r="F21" s="13">
        <v>5.8</v>
      </c>
      <c r="G21" s="16">
        <v>11153572</v>
      </c>
      <c r="H21" s="16">
        <v>6230517</v>
      </c>
      <c r="I21" s="15">
        <v>356541</v>
      </c>
      <c r="J21" s="15">
        <v>1282726</v>
      </c>
      <c r="K21" s="12">
        <v>0.2175</v>
      </c>
      <c r="L21" s="26">
        <v>0.9</v>
      </c>
      <c r="M21" s="16">
        <v>8057304</v>
      </c>
      <c r="N21" s="16">
        <v>6590427</v>
      </c>
      <c r="O21" s="16">
        <v>72681719</v>
      </c>
      <c r="P21" s="16">
        <v>57459913</v>
      </c>
    </row>
    <row r="22" spans="2:16">
      <c r="B22" s="17">
        <v>14</v>
      </c>
      <c r="C22" s="18">
        <v>861231</v>
      </c>
      <c r="D22" s="20">
        <v>2126379</v>
      </c>
      <c r="E22" s="18">
        <v>2003961</v>
      </c>
      <c r="F22" s="20">
        <v>5.78</v>
      </c>
      <c r="G22" s="20">
        <v>13577220</v>
      </c>
      <c r="H22" s="20">
        <v>7586209</v>
      </c>
      <c r="I22" s="18">
        <v>430852</v>
      </c>
      <c r="J22" s="18">
        <v>1573109</v>
      </c>
      <c r="K22" s="19">
        <v>0.215</v>
      </c>
      <c r="L22" s="17">
        <v>1.05</v>
      </c>
      <c r="M22" s="20">
        <v>9712588</v>
      </c>
      <c r="N22" s="20">
        <v>8047077</v>
      </c>
      <c r="O22" s="20">
        <v>82394307</v>
      </c>
      <c r="P22" s="20">
        <v>65506990</v>
      </c>
    </row>
    <row r="23" spans="2:16">
      <c r="B23">
        <v>15</v>
      </c>
      <c r="C23" s="15">
        <v>818490</v>
      </c>
      <c r="D23" s="16">
        <v>2020853</v>
      </c>
      <c r="E23" s="15">
        <v>1983414</v>
      </c>
      <c r="F23" s="13">
        <v>5.77</v>
      </c>
      <c r="G23" s="16">
        <v>13381066</v>
      </c>
      <c r="H23" s="16">
        <v>7478396</v>
      </c>
      <c r="I23" s="15">
        <v>421475</v>
      </c>
      <c r="J23" s="15">
        <v>1561939</v>
      </c>
      <c r="K23" s="12">
        <v>0.2125</v>
      </c>
      <c r="L23" s="26">
        <v>1</v>
      </c>
      <c r="M23" s="16">
        <v>9499249</v>
      </c>
      <c r="N23" s="16">
        <v>7859339</v>
      </c>
      <c r="O23" s="16">
        <v>91893556</v>
      </c>
      <c r="P23" s="16">
        <v>73366329</v>
      </c>
    </row>
    <row r="24" spans="2:16">
      <c r="B24" s="17">
        <v>16</v>
      </c>
      <c r="C24" s="18">
        <v>816899</v>
      </c>
      <c r="D24" s="20">
        <v>2016923</v>
      </c>
      <c r="E24" s="18">
        <v>2040347</v>
      </c>
      <c r="F24" s="20">
        <v>5.75</v>
      </c>
      <c r="G24" s="20">
        <v>13706798</v>
      </c>
      <c r="H24" s="20">
        <v>7662272</v>
      </c>
      <c r="I24" s="18">
        <v>428473</v>
      </c>
      <c r="J24" s="18">
        <v>1611874</v>
      </c>
      <c r="K24" s="19">
        <v>0.21</v>
      </c>
      <c r="L24" s="17">
        <v>1</v>
      </c>
      <c r="M24" s="20">
        <v>9679195</v>
      </c>
      <c r="N24" s="20">
        <v>8017692</v>
      </c>
      <c r="O24" s="20">
        <v>101572751</v>
      </c>
      <c r="P24" s="20">
        <v>81384021</v>
      </c>
    </row>
    <row r="25" spans="2:16">
      <c r="B25">
        <v>17</v>
      </c>
      <c r="C25" s="15">
        <v>856206</v>
      </c>
      <c r="D25" s="16">
        <v>2113974</v>
      </c>
      <c r="E25" s="15">
        <v>2186110</v>
      </c>
      <c r="F25" s="13">
        <v>5.74</v>
      </c>
      <c r="G25" s="16">
        <v>14623701</v>
      </c>
      <c r="H25" s="16">
        <v>8176785</v>
      </c>
      <c r="I25" s="15">
        <v>453618</v>
      </c>
      <c r="J25" s="15">
        <v>1732492</v>
      </c>
      <c r="K25" s="12">
        <v>0.2075</v>
      </c>
      <c r="L25" s="26">
        <v>1.05</v>
      </c>
      <c r="M25" s="16">
        <v>10290758</v>
      </c>
      <c r="N25" s="16">
        <v>8555867</v>
      </c>
      <c r="O25" s="16">
        <v>111863509</v>
      </c>
      <c r="P25" s="16">
        <v>89939888</v>
      </c>
    </row>
    <row r="26" spans="2:16">
      <c r="B26" s="17">
        <v>18</v>
      </c>
      <c r="C26" s="18">
        <v>895496</v>
      </c>
      <c r="D26" s="20">
        <v>2210980</v>
      </c>
      <c r="E26" s="18">
        <v>2324671</v>
      </c>
      <c r="F26" s="20">
        <v>5.72</v>
      </c>
      <c r="G26" s="20">
        <v>15484564</v>
      </c>
      <c r="H26" s="20">
        <v>8660200</v>
      </c>
      <c r="I26" s="18">
        <v>476558</v>
      </c>
      <c r="J26" s="18">
        <v>1848113</v>
      </c>
      <c r="K26" s="19">
        <v>0.205</v>
      </c>
      <c r="L26" s="17">
        <v>1.1</v>
      </c>
      <c r="M26" s="20">
        <v>10871180</v>
      </c>
      <c r="N26" s="20">
        <v>9066638</v>
      </c>
      <c r="O26" s="20">
        <v>122734689</v>
      </c>
      <c r="P26" s="20">
        <v>99006526</v>
      </c>
    </row>
    <row r="27" spans="2:16">
      <c r="B27">
        <v>19</v>
      </c>
      <c r="C27" s="15">
        <v>853490</v>
      </c>
      <c r="D27" s="16">
        <v>2107266</v>
      </c>
      <c r="E27" s="15">
        <v>2247871</v>
      </c>
      <c r="F27" s="13">
        <v>5.71</v>
      </c>
      <c r="G27" s="16">
        <v>14909382</v>
      </c>
      <c r="H27" s="16">
        <v>8340503</v>
      </c>
      <c r="I27" s="15">
        <v>455194</v>
      </c>
      <c r="J27" s="15">
        <v>1792677</v>
      </c>
      <c r="K27" s="12">
        <v>0.2025</v>
      </c>
      <c r="L27" s="26">
        <v>1.05</v>
      </c>
      <c r="M27" s="16">
        <v>10447770</v>
      </c>
      <c r="N27" s="16">
        <v>8944037</v>
      </c>
      <c r="O27" s="16">
        <v>133182459</v>
      </c>
      <c r="P27" s="16">
        <v>107950564</v>
      </c>
    </row>
    <row r="28" spans="2:16">
      <c r="B28" s="17">
        <v>20</v>
      </c>
      <c r="C28" s="18">
        <v>811707</v>
      </c>
      <c r="D28" s="20">
        <v>2004104</v>
      </c>
      <c r="E28" s="18">
        <v>2162714</v>
      </c>
      <c r="F28" s="20">
        <v>5.69</v>
      </c>
      <c r="G28" s="20">
        <v>14283570</v>
      </c>
      <c r="H28" s="20">
        <v>7992322</v>
      </c>
      <c r="I28" s="18">
        <v>432543</v>
      </c>
      <c r="J28" s="18">
        <v>1730171</v>
      </c>
      <c r="K28" s="19">
        <v>0.2</v>
      </c>
      <c r="L28" s="17">
        <v>1</v>
      </c>
      <c r="M28" s="20">
        <v>9996426</v>
      </c>
      <c r="N28" s="20">
        <v>8546855</v>
      </c>
      <c r="O28" s="20">
        <v>143178885</v>
      </c>
      <c r="P28" s="20">
        <v>116497418</v>
      </c>
    </row>
    <row r="29" spans="2:16">
      <c r="B29">
        <v>21</v>
      </c>
      <c r="C29" s="15">
        <v>770124</v>
      </c>
      <c r="D29" s="16">
        <v>1901436</v>
      </c>
      <c r="E29" s="15">
        <v>2071486</v>
      </c>
      <c r="F29" s="13">
        <v>5.68</v>
      </c>
      <c r="G29" s="16">
        <v>13622846</v>
      </c>
      <c r="H29" s="16">
        <v>7624434</v>
      </c>
      <c r="I29" s="15">
        <v>409118</v>
      </c>
      <c r="J29" s="15">
        <v>1662368</v>
      </c>
      <c r="K29" s="12">
        <v>0.1975</v>
      </c>
      <c r="L29" s="26">
        <v>0.95</v>
      </c>
      <c r="M29" s="16">
        <v>9525870</v>
      </c>
      <c r="N29" s="16">
        <v>8132766</v>
      </c>
      <c r="O29" s="16">
        <v>152704755</v>
      </c>
      <c r="P29" s="16">
        <v>124630184</v>
      </c>
    </row>
    <row r="30" spans="2:16">
      <c r="B30" s="17">
        <v>22</v>
      </c>
      <c r="C30" s="18">
        <v>769206</v>
      </c>
      <c r="D30" s="20">
        <v>1899171</v>
      </c>
      <c r="E30" s="18">
        <v>2082675</v>
      </c>
      <c r="F30" s="20">
        <v>5.66</v>
      </c>
      <c r="G30" s="20">
        <v>13638118</v>
      </c>
      <c r="H30" s="20">
        <v>7634801</v>
      </c>
      <c r="I30" s="18">
        <v>406122</v>
      </c>
      <c r="J30" s="18">
        <v>1676553</v>
      </c>
      <c r="K30" s="19">
        <v>0.195</v>
      </c>
      <c r="L30" s="17">
        <v>0.95</v>
      </c>
      <c r="M30" s="20">
        <v>9533972</v>
      </c>
      <c r="N30" s="20">
        <v>8139896</v>
      </c>
      <c r="O30" s="20">
        <v>162238727</v>
      </c>
      <c r="P30" s="20">
        <v>132770080</v>
      </c>
    </row>
    <row r="31" spans="2:16">
      <c r="B31">
        <v>23</v>
      </c>
      <c r="C31" s="15">
        <v>768362</v>
      </c>
      <c r="D31" s="16">
        <v>1897086</v>
      </c>
      <c r="E31" s="15">
        <v>2091513</v>
      </c>
      <c r="F31" s="13">
        <v>5.65</v>
      </c>
      <c r="G31" s="16">
        <v>13637632</v>
      </c>
      <c r="H31" s="16">
        <v>7636349</v>
      </c>
      <c r="I31" s="15">
        <v>402616</v>
      </c>
      <c r="J31" s="15">
        <v>1688897</v>
      </c>
      <c r="K31" s="12">
        <v>0.1925</v>
      </c>
      <c r="L31" s="26">
        <v>0.95</v>
      </c>
      <c r="M31" s="16">
        <v>9533435</v>
      </c>
      <c r="N31" s="16">
        <v>8139423</v>
      </c>
      <c r="O31" s="16">
        <v>171772163</v>
      </c>
      <c r="P31" s="16">
        <v>140909503</v>
      </c>
    </row>
    <row r="32" spans="2:16">
      <c r="B32" s="17">
        <v>24</v>
      </c>
      <c r="C32" s="18">
        <v>807984</v>
      </c>
      <c r="D32" s="20">
        <v>1994914</v>
      </c>
      <c r="E32" s="18">
        <v>2206185</v>
      </c>
      <c r="F32" s="20">
        <v>5.64</v>
      </c>
      <c r="G32" s="20">
        <v>14324011</v>
      </c>
      <c r="H32" s="20">
        <v>8022595</v>
      </c>
      <c r="I32" s="18">
        <v>419175</v>
      </c>
      <c r="J32" s="18">
        <v>1787010</v>
      </c>
      <c r="K32" s="19">
        <v>0.19</v>
      </c>
      <c r="L32" s="17">
        <v>1</v>
      </c>
      <c r="M32" s="20">
        <v>10017509</v>
      </c>
      <c r="N32" s="20">
        <v>8565408</v>
      </c>
      <c r="O32" s="20">
        <v>181789671</v>
      </c>
      <c r="P32" s="20">
        <v>149474911</v>
      </c>
    </row>
    <row r="33" spans="2:16">
      <c r="B33">
        <v>25</v>
      </c>
      <c r="C33" s="15">
        <v>726509</v>
      </c>
      <c r="D33" s="16">
        <v>1793750</v>
      </c>
      <c r="E33" s="15">
        <v>1996611</v>
      </c>
      <c r="F33" s="13">
        <v>5.62</v>
      </c>
      <c r="G33" s="16">
        <v>12908009</v>
      </c>
      <c r="H33" s="16">
        <v>7231242</v>
      </c>
      <c r="I33" s="15">
        <v>374365</v>
      </c>
      <c r="J33" s="15">
        <v>1622246</v>
      </c>
      <c r="K33" s="12">
        <v>0.1875</v>
      </c>
      <c r="L33" s="26">
        <v>0.9</v>
      </c>
      <c r="M33" s="16">
        <v>9024992</v>
      </c>
      <c r="N33" s="16">
        <v>7691993</v>
      </c>
      <c r="O33" s="16">
        <v>190814664</v>
      </c>
      <c r="P33" s="16">
        <v>157166904</v>
      </c>
    </row>
    <row r="34" spans="2:16">
      <c r="B34" s="17">
        <v>26</v>
      </c>
      <c r="C34" s="18">
        <v>846866</v>
      </c>
      <c r="D34" s="20">
        <v>2090913</v>
      </c>
      <c r="E34" s="18">
        <v>2325506</v>
      </c>
      <c r="F34" s="20">
        <v>5.61</v>
      </c>
      <c r="G34" s="20">
        <v>14970108</v>
      </c>
      <c r="H34" s="20">
        <v>8388455</v>
      </c>
      <c r="I34" s="18">
        <v>430219</v>
      </c>
      <c r="J34" s="18">
        <v>1895287</v>
      </c>
      <c r="K34" s="19">
        <v>0.185</v>
      </c>
      <c r="L34" s="17">
        <v>1.05</v>
      </c>
      <c r="M34" s="20">
        <v>10479368</v>
      </c>
      <c r="N34" s="20">
        <v>8971844</v>
      </c>
      <c r="O34" s="20">
        <v>201294031</v>
      </c>
      <c r="P34" s="20">
        <v>166138748</v>
      </c>
    </row>
    <row r="35" spans="2:16">
      <c r="B35">
        <v>27</v>
      </c>
      <c r="C35" s="15">
        <v>805902</v>
      </c>
      <c r="D35" s="16">
        <v>1989773</v>
      </c>
      <c r="E35" s="15">
        <v>2221849</v>
      </c>
      <c r="F35" s="13">
        <v>5.59</v>
      </c>
      <c r="G35" s="16">
        <v>14241718</v>
      </c>
      <c r="H35" s="16">
        <v>7982202</v>
      </c>
      <c r="I35" s="15">
        <v>405487</v>
      </c>
      <c r="J35" s="15">
        <v>1816362</v>
      </c>
      <c r="K35" s="12">
        <v>0.1825</v>
      </c>
      <c r="L35" s="26">
        <v>1</v>
      </c>
      <c r="M35" s="16">
        <v>9971975</v>
      </c>
      <c r="N35" s="16">
        <v>8525338</v>
      </c>
      <c r="O35" s="16">
        <v>211266007</v>
      </c>
      <c r="P35" s="16">
        <v>174664086</v>
      </c>
    </row>
    <row r="36" spans="2:16">
      <c r="B36" s="17">
        <v>28</v>
      </c>
      <c r="C36" s="18">
        <v>805316</v>
      </c>
      <c r="D36" s="20">
        <v>1988326</v>
      </c>
      <c r="E36" s="18">
        <v>2225745</v>
      </c>
      <c r="F36" s="20">
        <v>5.58</v>
      </c>
      <c r="G36" s="20">
        <v>14205687</v>
      </c>
      <c r="H36" s="20">
        <v>7963902</v>
      </c>
      <c r="I36" s="18">
        <v>400634</v>
      </c>
      <c r="J36" s="18">
        <v>1825111</v>
      </c>
      <c r="K36" s="19">
        <v>0.18</v>
      </c>
      <c r="L36" s="17">
        <v>1</v>
      </c>
      <c r="M36" s="20">
        <v>9952227</v>
      </c>
      <c r="N36" s="20">
        <v>8507960</v>
      </c>
      <c r="O36" s="20">
        <v>221218234</v>
      </c>
      <c r="P36" s="20">
        <v>183172046</v>
      </c>
    </row>
    <row r="37" spans="2:16">
      <c r="B37">
        <v>29</v>
      </c>
      <c r="C37" s="15">
        <v>845016</v>
      </c>
      <c r="D37" s="16">
        <v>2086343</v>
      </c>
      <c r="E37" s="15">
        <v>2337879</v>
      </c>
      <c r="F37" s="13">
        <v>5.56</v>
      </c>
      <c r="G37" s="16">
        <v>14857534</v>
      </c>
      <c r="H37" s="16">
        <v>8331316</v>
      </c>
      <c r="I37" s="15">
        <v>414974</v>
      </c>
      <c r="J37" s="15">
        <v>1922905</v>
      </c>
      <c r="K37" s="12">
        <v>0.1775</v>
      </c>
      <c r="L37" s="26">
        <v>1.05</v>
      </c>
      <c r="M37" s="16">
        <v>10417660</v>
      </c>
      <c r="N37" s="16">
        <v>8917541</v>
      </c>
      <c r="O37" s="16">
        <v>231635894</v>
      </c>
      <c r="P37" s="16">
        <v>192089586</v>
      </c>
    </row>
    <row r="38" spans="2:16">
      <c r="B38" s="17">
        <v>30</v>
      </c>
      <c r="C38" s="18">
        <v>884708</v>
      </c>
      <c r="D38" s="20">
        <v>2184345</v>
      </c>
      <c r="E38" s="18">
        <v>2450036</v>
      </c>
      <c r="F38" s="20">
        <v>5.55</v>
      </c>
      <c r="G38" s="20">
        <v>15503633</v>
      </c>
      <c r="H38" s="20">
        <v>8695681</v>
      </c>
      <c r="I38" s="18">
        <v>428756</v>
      </c>
      <c r="J38" s="18">
        <v>2021280</v>
      </c>
      <c r="K38" s="19">
        <v>0.175</v>
      </c>
      <c r="L38" s="17">
        <v>1.1</v>
      </c>
      <c r="M38" s="20">
        <v>10880026</v>
      </c>
      <c r="N38" s="20">
        <v>9324422</v>
      </c>
      <c r="O38" s="20">
        <v>242515919</v>
      </c>
      <c r="P38" s="20">
        <v>201414009</v>
      </c>
    </row>
    <row r="39" spans="2:16">
      <c r="B39">
        <v>31</v>
      </c>
      <c r="C39" s="15">
        <v>844015</v>
      </c>
      <c r="D39" s="16">
        <v>2083872</v>
      </c>
      <c r="E39" s="15">
        <v>2344425</v>
      </c>
      <c r="F39" s="13">
        <v>5.54</v>
      </c>
      <c r="G39" s="16">
        <v>14771765</v>
      </c>
      <c r="H39" s="16">
        <v>8287159</v>
      </c>
      <c r="I39" s="15">
        <v>404413</v>
      </c>
      <c r="J39" s="15">
        <v>1940012</v>
      </c>
      <c r="K39" s="12">
        <v>0.1725</v>
      </c>
      <c r="L39" s="26">
        <v>1.05</v>
      </c>
      <c r="M39" s="16">
        <v>10371031</v>
      </c>
      <c r="N39" s="16">
        <v>8876507</v>
      </c>
      <c r="O39" s="16">
        <v>252886950</v>
      </c>
      <c r="P39" s="16">
        <v>210290516</v>
      </c>
    </row>
    <row r="40" spans="2:16">
      <c r="B40" s="17">
        <v>32</v>
      </c>
      <c r="C40" s="18">
        <v>803403</v>
      </c>
      <c r="D40" s="20">
        <v>1983603</v>
      </c>
      <c r="E40" s="18">
        <v>2238372</v>
      </c>
      <c r="F40" s="20">
        <v>5.52</v>
      </c>
      <c r="G40" s="20">
        <v>14043069</v>
      </c>
      <c r="H40" s="20">
        <v>7880221</v>
      </c>
      <c r="I40" s="18">
        <v>380523</v>
      </c>
      <c r="J40" s="18">
        <v>1857849</v>
      </c>
      <c r="K40" s="19">
        <v>0.17</v>
      </c>
      <c r="L40" s="17">
        <v>1</v>
      </c>
      <c r="M40" s="20">
        <v>9863824</v>
      </c>
      <c r="N40" s="20">
        <v>8430165</v>
      </c>
      <c r="O40" s="20">
        <v>262750774</v>
      </c>
      <c r="P40" s="20">
        <v>218720681</v>
      </c>
    </row>
    <row r="41" spans="2:16">
      <c r="B41">
        <v>33</v>
      </c>
      <c r="C41" s="15">
        <v>762866</v>
      </c>
      <c r="D41" s="16">
        <v>1883515</v>
      </c>
      <c r="E41" s="15">
        <v>2131934</v>
      </c>
      <c r="F41" s="13">
        <v>5.51</v>
      </c>
      <c r="G41" s="16">
        <v>13317902</v>
      </c>
      <c r="H41" s="16">
        <v>7475071</v>
      </c>
      <c r="I41" s="15">
        <v>357099</v>
      </c>
      <c r="J41" s="15">
        <v>1774835</v>
      </c>
      <c r="K41" s="12">
        <v>0.1675</v>
      </c>
      <c r="L41" s="26">
        <v>0.95</v>
      </c>
      <c r="M41" s="16">
        <v>9358586</v>
      </c>
      <c r="N41" s="16">
        <v>7985556</v>
      </c>
      <c r="O41" s="16">
        <v>272109361</v>
      </c>
      <c r="P41" s="16">
        <v>226706238</v>
      </c>
    </row>
    <row r="42" spans="2:16">
      <c r="B42" s="17">
        <v>34</v>
      </c>
      <c r="C42" s="18">
        <v>762528</v>
      </c>
      <c r="D42" s="20">
        <v>1882681</v>
      </c>
      <c r="E42" s="18">
        <v>2134471</v>
      </c>
      <c r="F42" s="20">
        <v>5.49</v>
      </c>
      <c r="G42" s="20">
        <v>13276496</v>
      </c>
      <c r="H42" s="20">
        <v>7453599</v>
      </c>
      <c r="I42" s="18">
        <v>352188</v>
      </c>
      <c r="J42" s="18">
        <v>1782283</v>
      </c>
      <c r="K42" s="19">
        <v>0.165</v>
      </c>
      <c r="L42" s="17">
        <v>0.95</v>
      </c>
      <c r="M42" s="20">
        <v>9336280</v>
      </c>
      <c r="N42" s="20">
        <v>7965926</v>
      </c>
      <c r="O42" s="20">
        <v>281445641</v>
      </c>
      <c r="P42" s="20">
        <v>234672164</v>
      </c>
    </row>
    <row r="43" spans="2:16">
      <c r="B43">
        <v>35</v>
      </c>
      <c r="C43" s="15">
        <v>762217</v>
      </c>
      <c r="D43" s="16">
        <v>1881913</v>
      </c>
      <c r="E43" s="15">
        <v>2136947</v>
      </c>
      <c r="F43" s="13">
        <v>5.48</v>
      </c>
      <c r="G43" s="16">
        <v>13234775</v>
      </c>
      <c r="H43" s="16">
        <v>7431939</v>
      </c>
      <c r="I43" s="15">
        <v>347254</v>
      </c>
      <c r="J43" s="15">
        <v>1789693</v>
      </c>
      <c r="K43" s="12">
        <v>0.1625</v>
      </c>
      <c r="L43" s="26">
        <v>0.95</v>
      </c>
      <c r="M43" s="16">
        <v>9313852</v>
      </c>
      <c r="N43" s="16">
        <v>7946190</v>
      </c>
      <c r="O43" s="16">
        <v>290759492</v>
      </c>
      <c r="P43" s="16">
        <v>242618353</v>
      </c>
    </row>
    <row r="44" spans="2:16">
      <c r="B44" s="17">
        <v>36</v>
      </c>
      <c r="C44" s="18">
        <v>802032</v>
      </c>
      <c r="D44" s="20">
        <v>1980217</v>
      </c>
      <c r="E44" s="18">
        <v>2248951</v>
      </c>
      <c r="F44" s="20">
        <v>5.47</v>
      </c>
      <c r="G44" s="20">
        <v>13868549</v>
      </c>
      <c r="H44" s="20">
        <v>7789679</v>
      </c>
      <c r="I44" s="18">
        <v>359832</v>
      </c>
      <c r="J44" s="18">
        <v>1889119</v>
      </c>
      <c r="K44" s="19">
        <v>0.16</v>
      </c>
      <c r="L44" s="17">
        <v>1</v>
      </c>
      <c r="M44" s="20">
        <v>9769896</v>
      </c>
      <c r="N44" s="20">
        <v>8347509</v>
      </c>
      <c r="O44" s="20">
        <v>300529388</v>
      </c>
      <c r="P44" s="20">
        <v>250965862</v>
      </c>
    </row>
    <row r="45" spans="2:16">
      <c r="B45">
        <v>37</v>
      </c>
      <c r="C45" s="15">
        <v>721579</v>
      </c>
      <c r="D45" s="16">
        <v>1781579</v>
      </c>
      <c r="E45" s="15">
        <v>2032070</v>
      </c>
      <c r="F45" s="13">
        <v>5.45</v>
      </c>
      <c r="G45" s="16">
        <v>12477189</v>
      </c>
      <c r="H45" s="16">
        <v>7009842</v>
      </c>
      <c r="I45" s="15">
        <v>320051</v>
      </c>
      <c r="J45" s="15">
        <v>1712019</v>
      </c>
      <c r="K45" s="12">
        <v>0.1575</v>
      </c>
      <c r="L45" s="26">
        <v>0.9</v>
      </c>
      <c r="M45" s="16">
        <v>8791421</v>
      </c>
      <c r="N45" s="16">
        <v>7486451</v>
      </c>
      <c r="O45" s="16">
        <v>309320809</v>
      </c>
      <c r="P45" s="16">
        <v>258452312</v>
      </c>
    </row>
    <row r="46" spans="2:16">
      <c r="B46" s="17">
        <v>38</v>
      </c>
      <c r="C46" s="18">
        <v>841575</v>
      </c>
      <c r="D46" s="20">
        <v>2077848</v>
      </c>
      <c r="E46" s="18">
        <v>2363778</v>
      </c>
      <c r="F46" s="20">
        <v>5.44</v>
      </c>
      <c r="G46" s="20">
        <v>14451417</v>
      </c>
      <c r="H46" s="20">
        <v>8120912</v>
      </c>
      <c r="I46" s="18">
        <v>366386</v>
      </c>
      <c r="J46" s="18">
        <v>1997392</v>
      </c>
      <c r="K46" s="19">
        <v>0.155</v>
      </c>
      <c r="L46" s="17">
        <v>1.05</v>
      </c>
      <c r="M46" s="20">
        <v>10198760</v>
      </c>
      <c r="N46" s="20">
        <v>8724909</v>
      </c>
      <c r="O46" s="20">
        <v>319519569</v>
      </c>
      <c r="P46" s="20">
        <v>267177221</v>
      </c>
    </row>
    <row r="47" spans="2:16">
      <c r="B47">
        <v>39</v>
      </c>
      <c r="C47" s="15">
        <v>801265</v>
      </c>
      <c r="D47" s="16">
        <v>1978323</v>
      </c>
      <c r="E47" s="15">
        <v>2256422</v>
      </c>
      <c r="F47" s="13">
        <v>5.43</v>
      </c>
      <c r="G47" s="16">
        <v>13735612</v>
      </c>
      <c r="H47" s="16">
        <v>7720497</v>
      </c>
      <c r="I47" s="15">
        <v>344104</v>
      </c>
      <c r="J47" s="15">
        <v>1912318</v>
      </c>
      <c r="K47" s="12">
        <v>0.1525</v>
      </c>
      <c r="L47" s="26">
        <v>1</v>
      </c>
      <c r="M47" s="16">
        <v>9698820</v>
      </c>
      <c r="N47" s="16">
        <v>8284962</v>
      </c>
      <c r="O47" s="16">
        <v>329218389</v>
      </c>
      <c r="P47" s="16">
        <v>275462183</v>
      </c>
    </row>
    <row r="48" spans="2:16">
      <c r="B48" s="17">
        <v>40</v>
      </c>
      <c r="C48" s="18">
        <v>801049</v>
      </c>
      <c r="D48" s="20">
        <v>1977790</v>
      </c>
      <c r="E48" s="18">
        <v>2258868</v>
      </c>
      <c r="F48" s="20">
        <v>5.41</v>
      </c>
      <c r="G48" s="20">
        <v>13691200</v>
      </c>
      <c r="H48" s="20">
        <v>7697356</v>
      </c>
      <c r="I48" s="18">
        <v>338830</v>
      </c>
      <c r="J48" s="18">
        <v>1920038</v>
      </c>
      <c r="K48" s="19">
        <v>0.15</v>
      </c>
      <c r="L48" s="17">
        <v>1</v>
      </c>
      <c r="M48" s="20">
        <v>9675146</v>
      </c>
      <c r="N48" s="20">
        <v>8264128</v>
      </c>
      <c r="O48" s="20">
        <v>338893535</v>
      </c>
      <c r="P48" s="20">
        <v>283726311</v>
      </c>
    </row>
    <row r="49" spans="2:16">
      <c r="B49">
        <v>41</v>
      </c>
      <c r="C49" s="15">
        <v>840893</v>
      </c>
      <c r="D49" s="16">
        <v>2076164</v>
      </c>
      <c r="E49" s="15">
        <v>2371487</v>
      </c>
      <c r="F49" s="13">
        <v>5.4</v>
      </c>
      <c r="G49" s="16">
        <v>14311749</v>
      </c>
      <c r="H49" s="16">
        <v>8048140</v>
      </c>
      <c r="I49" s="15">
        <v>349794</v>
      </c>
      <c r="J49" s="15">
        <v>2021693</v>
      </c>
      <c r="K49" s="12">
        <v>0.1475</v>
      </c>
      <c r="L49" s="26">
        <v>1.05</v>
      </c>
      <c r="M49" s="16">
        <v>10124304</v>
      </c>
      <c r="N49" s="16">
        <v>8659388</v>
      </c>
      <c r="O49" s="16">
        <v>349017839</v>
      </c>
      <c r="P49" s="16">
        <v>292385699</v>
      </c>
    </row>
    <row r="50" spans="2:16">
      <c r="B50" s="17">
        <v>42</v>
      </c>
      <c r="C50" s="18">
        <v>880734</v>
      </c>
      <c r="D50" s="20">
        <v>2174533</v>
      </c>
      <c r="E50" s="18">
        <v>2484333</v>
      </c>
      <c r="F50" s="20">
        <v>5.38</v>
      </c>
      <c r="G50" s="20">
        <v>14928010</v>
      </c>
      <c r="H50" s="20">
        <v>8396677</v>
      </c>
      <c r="I50" s="18">
        <v>360228</v>
      </c>
      <c r="J50" s="18">
        <v>2124105</v>
      </c>
      <c r="K50" s="19">
        <v>0.145</v>
      </c>
      <c r="L50" s="17">
        <v>1.1</v>
      </c>
      <c r="M50" s="20">
        <v>10571210</v>
      </c>
      <c r="N50" s="20">
        <v>9052665</v>
      </c>
      <c r="O50" s="20">
        <v>359589049</v>
      </c>
      <c r="P50" s="20">
        <v>301438363</v>
      </c>
    </row>
    <row r="51" spans="2:16">
      <c r="B51">
        <v>43</v>
      </c>
      <c r="C51" s="15">
        <v>840524</v>
      </c>
      <c r="D51" s="16">
        <v>2075254</v>
      </c>
      <c r="E51" s="15">
        <v>2376553</v>
      </c>
      <c r="F51" s="13">
        <v>5.37</v>
      </c>
      <c r="G51" s="16">
        <v>14218648</v>
      </c>
      <c r="H51" s="16">
        <v>7999568</v>
      </c>
      <c r="I51" s="15">
        <v>338659</v>
      </c>
      <c r="J51" s="15">
        <v>2037894</v>
      </c>
      <c r="K51" s="12">
        <v>0.1425</v>
      </c>
      <c r="L51" s="26">
        <v>1.05</v>
      </c>
      <c r="M51" s="16">
        <v>10074822</v>
      </c>
      <c r="N51" s="16">
        <v>8615843</v>
      </c>
      <c r="O51" s="16">
        <v>369663871</v>
      </c>
      <c r="P51" s="16">
        <v>310054207</v>
      </c>
    </row>
    <row r="52" spans="2:16">
      <c r="B52" s="17">
        <v>44</v>
      </c>
      <c r="C52" s="18">
        <v>800344</v>
      </c>
      <c r="D52" s="20">
        <v>1976050</v>
      </c>
      <c r="E52" s="18">
        <v>2268523</v>
      </c>
      <c r="F52" s="20">
        <v>5.36</v>
      </c>
      <c r="G52" s="20">
        <v>13513603</v>
      </c>
      <c r="H52" s="20">
        <v>7604700</v>
      </c>
      <c r="I52" s="18">
        <v>317593</v>
      </c>
      <c r="J52" s="18">
        <v>1950930</v>
      </c>
      <c r="K52" s="19">
        <v>0.14</v>
      </c>
      <c r="L52" s="17">
        <v>1</v>
      </c>
      <c r="M52" s="20">
        <v>9580750</v>
      </c>
      <c r="N52" s="20">
        <v>8181060</v>
      </c>
      <c r="O52" s="20">
        <v>379244621</v>
      </c>
      <c r="P52" s="20">
        <v>318235266</v>
      </c>
    </row>
    <row r="53" spans="2:16">
      <c r="B53">
        <v>45</v>
      </c>
      <c r="C53" s="15">
        <v>760192</v>
      </c>
      <c r="D53" s="16">
        <v>1876913</v>
      </c>
      <c r="E53" s="15">
        <v>2160246</v>
      </c>
      <c r="F53" s="13">
        <v>5.34</v>
      </c>
      <c r="G53" s="16">
        <v>12812886</v>
      </c>
      <c r="H53" s="16">
        <v>7212079</v>
      </c>
      <c r="I53" s="15">
        <v>297034</v>
      </c>
      <c r="J53" s="15">
        <v>1863212</v>
      </c>
      <c r="K53" s="12">
        <v>0.1375</v>
      </c>
      <c r="L53" s="26">
        <v>0.95</v>
      </c>
      <c r="M53" s="16">
        <v>9088993</v>
      </c>
      <c r="N53" s="16">
        <v>7748314</v>
      </c>
      <c r="O53" s="16">
        <v>388333614</v>
      </c>
      <c r="P53" s="16">
        <v>325983580</v>
      </c>
    </row>
    <row r="54" spans="2:16">
      <c r="B54" s="17">
        <v>46</v>
      </c>
      <c r="C54" s="18">
        <v>760067</v>
      </c>
      <c r="D54" s="20">
        <v>1876606</v>
      </c>
      <c r="E54" s="18">
        <v>2162507</v>
      </c>
      <c r="F54" s="20">
        <v>5.33</v>
      </c>
      <c r="G54" s="20">
        <v>12770731</v>
      </c>
      <c r="H54" s="20">
        <v>7190049</v>
      </c>
      <c r="I54" s="18">
        <v>291938</v>
      </c>
      <c r="J54" s="18">
        <v>1870569</v>
      </c>
      <c r="K54" s="19">
        <v>0.135</v>
      </c>
      <c r="L54" s="17">
        <v>0.95</v>
      </c>
      <c r="M54" s="20">
        <v>9066655</v>
      </c>
      <c r="N54" s="20">
        <v>7728657</v>
      </c>
      <c r="O54" s="20">
        <v>397400269</v>
      </c>
      <c r="P54" s="20">
        <v>333712237</v>
      </c>
    </row>
    <row r="55" spans="2:16">
      <c r="B55">
        <v>47</v>
      </c>
      <c r="C55" s="15">
        <v>759953</v>
      </c>
      <c r="D55" s="16">
        <v>1876323</v>
      </c>
      <c r="E55" s="15">
        <v>2164762</v>
      </c>
      <c r="F55" s="13">
        <v>5.32</v>
      </c>
      <c r="G55" s="16">
        <v>12728623</v>
      </c>
      <c r="H55" s="16">
        <v>7168034</v>
      </c>
      <c r="I55" s="15">
        <v>286831</v>
      </c>
      <c r="J55" s="15">
        <v>1877931</v>
      </c>
      <c r="K55" s="12">
        <v>0.1325</v>
      </c>
      <c r="L55" s="26">
        <v>0.95</v>
      </c>
      <c r="M55" s="16">
        <v>9044357</v>
      </c>
      <c r="N55" s="16">
        <v>7709034</v>
      </c>
      <c r="O55" s="16">
        <v>406444626</v>
      </c>
      <c r="P55" s="16">
        <v>341421271</v>
      </c>
    </row>
    <row r="56" spans="2:16">
      <c r="B56" s="17">
        <v>48</v>
      </c>
      <c r="C56" s="18">
        <v>799839</v>
      </c>
      <c r="D56" s="20">
        <v>1974803</v>
      </c>
      <c r="E56" s="18">
        <v>2278032</v>
      </c>
      <c r="F56" s="20">
        <v>5.3</v>
      </c>
      <c r="G56" s="20">
        <v>13336522</v>
      </c>
      <c r="H56" s="20">
        <v>7512141</v>
      </c>
      <c r="I56" s="18">
        <v>296144</v>
      </c>
      <c r="J56" s="18">
        <v>1981888</v>
      </c>
      <c r="K56" s="19">
        <v>0.13</v>
      </c>
      <c r="L56" s="17">
        <v>1</v>
      </c>
      <c r="M56" s="20">
        <v>9486944</v>
      </c>
      <c r="N56" s="20">
        <v>8098510</v>
      </c>
      <c r="O56" s="20">
        <v>415931570</v>
      </c>
      <c r="P56" s="20">
        <v>349519781</v>
      </c>
    </row>
    <row r="57" spans="2:16">
      <c r="B57">
        <v>49</v>
      </c>
      <c r="C57" s="15">
        <v>719763</v>
      </c>
      <c r="D57" s="16">
        <v>1777096</v>
      </c>
      <c r="E57" s="15">
        <v>2058111</v>
      </c>
      <c r="F57" s="13">
        <v>5.29</v>
      </c>
      <c r="G57" s="16">
        <v>11996700</v>
      </c>
      <c r="H57" s="16">
        <v>6759046</v>
      </c>
      <c r="I57" s="15">
        <v>262409</v>
      </c>
      <c r="J57" s="15">
        <v>1795702</v>
      </c>
      <c r="K57" s="12">
        <v>0.1275</v>
      </c>
      <c r="L57" s="26">
        <v>0.9</v>
      </c>
      <c r="M57" s="16">
        <v>8536142</v>
      </c>
      <c r="N57" s="16">
        <v>7261805</v>
      </c>
      <c r="O57" s="16">
        <v>424467711</v>
      </c>
      <c r="P57" s="16">
        <v>356781586</v>
      </c>
    </row>
    <row r="58" spans="2:16">
      <c r="B58" s="17">
        <v>50</v>
      </c>
      <c r="C58" s="18">
        <v>839625</v>
      </c>
      <c r="D58" s="20">
        <v>2073034</v>
      </c>
      <c r="E58" s="18">
        <v>2394001</v>
      </c>
      <c r="F58" s="20">
        <v>5.28</v>
      </c>
      <c r="G58" s="20">
        <v>13893958</v>
      </c>
      <c r="H58" s="20">
        <v>7829824</v>
      </c>
      <c r="I58" s="18">
        <v>299250</v>
      </c>
      <c r="J58" s="18">
        <v>2094751</v>
      </c>
      <c r="K58" s="19">
        <v>0.125</v>
      </c>
      <c r="L58" s="17">
        <v>1.05</v>
      </c>
      <c r="M58" s="20">
        <v>9902859</v>
      </c>
      <c r="N58" s="20">
        <v>8464516</v>
      </c>
      <c r="O58" s="20">
        <v>434370570</v>
      </c>
      <c r="P58" s="20">
        <v>365246102</v>
      </c>
    </row>
    <row r="59" spans="2:16">
      <c r="B59">
        <v>51</v>
      </c>
      <c r="C59" s="15">
        <v>799557</v>
      </c>
      <c r="D59" s="16">
        <v>1974105</v>
      </c>
      <c r="E59" s="15">
        <v>2285089</v>
      </c>
      <c r="F59" s="13">
        <v>5.26</v>
      </c>
      <c r="G59" s="16">
        <v>13204202</v>
      </c>
      <c r="H59" s="16">
        <v>7442872</v>
      </c>
      <c r="I59" s="15">
        <v>279923</v>
      </c>
      <c r="J59" s="15">
        <v>2005166</v>
      </c>
      <c r="K59" s="12">
        <v>0.1225</v>
      </c>
      <c r="L59" s="26">
        <v>1</v>
      </c>
      <c r="M59" s="16">
        <v>9416977</v>
      </c>
      <c r="N59" s="16">
        <v>8036940</v>
      </c>
      <c r="O59" s="16">
        <v>443787548</v>
      </c>
      <c r="P59" s="16">
        <v>373283042</v>
      </c>
    </row>
    <row r="60" spans="2:16">
      <c r="B60" s="17">
        <v>52</v>
      </c>
      <c r="C60" s="18">
        <v>799477</v>
      </c>
      <c r="D60" s="20">
        <v>1973909</v>
      </c>
      <c r="E60" s="18">
        <v>2287429</v>
      </c>
      <c r="F60" s="20">
        <v>5.25</v>
      </c>
      <c r="G60" s="20">
        <v>13160199</v>
      </c>
      <c r="H60" s="20">
        <v>7419817</v>
      </c>
      <c r="I60" s="18">
        <v>274491</v>
      </c>
      <c r="J60" s="18">
        <v>2012938</v>
      </c>
      <c r="K60" s="19">
        <v>0.12</v>
      </c>
      <c r="L60" s="17">
        <v>1</v>
      </c>
      <c r="M60" s="20">
        <v>9393726</v>
      </c>
      <c r="N60" s="20">
        <v>8016479</v>
      </c>
      <c r="O60" s="20">
        <v>453181274</v>
      </c>
      <c r="P60" s="20">
        <v>381299521</v>
      </c>
    </row>
    <row r="61" spans="2:16">
      <c r="B61">
        <v>53</v>
      </c>
      <c r="C61" s="15">
        <v>839374</v>
      </c>
      <c r="D61" s="16">
        <v>2072414</v>
      </c>
      <c r="E61" s="15">
        <v>2401371</v>
      </c>
      <c r="F61" s="13">
        <v>5.24</v>
      </c>
      <c r="G61" s="16">
        <v>13755568</v>
      </c>
      <c r="H61" s="16">
        <v>7757318</v>
      </c>
      <c r="I61" s="15">
        <v>282161</v>
      </c>
      <c r="J61" s="15">
        <v>2119210</v>
      </c>
      <c r="K61" s="12">
        <v>0.1175</v>
      </c>
      <c r="L61" s="26">
        <v>1.05</v>
      </c>
      <c r="M61" s="16">
        <v>9829732</v>
      </c>
      <c r="N61" s="16">
        <v>8400164</v>
      </c>
      <c r="O61" s="16">
        <v>463011006</v>
      </c>
      <c r="P61" s="16">
        <v>389699685</v>
      </c>
    </row>
    <row r="62" spans="2:16">
      <c r="B62" s="17">
        <v>54</v>
      </c>
      <c r="C62" s="18">
        <v>879270</v>
      </c>
      <c r="D62" s="20">
        <v>2170918</v>
      </c>
      <c r="E62" s="18">
        <v>2515539</v>
      </c>
      <c r="F62" s="20">
        <v>5.22</v>
      </c>
      <c r="G62" s="20">
        <v>14346744</v>
      </c>
      <c r="H62" s="20">
        <v>8092611</v>
      </c>
      <c r="I62" s="18">
        <v>289287</v>
      </c>
      <c r="J62" s="18">
        <v>2226252</v>
      </c>
      <c r="K62" s="19">
        <v>0.115</v>
      </c>
      <c r="L62" s="17">
        <v>1.1</v>
      </c>
      <c r="M62" s="20">
        <v>10263529</v>
      </c>
      <c r="N62" s="20">
        <v>8781905</v>
      </c>
      <c r="O62" s="20">
        <v>473274535</v>
      </c>
      <c r="P62" s="20">
        <v>398481590</v>
      </c>
    </row>
    <row r="63" spans="2:16">
      <c r="B63">
        <v>55</v>
      </c>
      <c r="C63" s="15">
        <v>839238</v>
      </c>
      <c r="D63" s="16">
        <v>2072079</v>
      </c>
      <c r="E63" s="15">
        <v>2406252</v>
      </c>
      <c r="F63" s="13">
        <v>5.21</v>
      </c>
      <c r="G63" s="16">
        <v>13663590</v>
      </c>
      <c r="H63" s="16">
        <v>7709077</v>
      </c>
      <c r="I63" s="15">
        <v>270703</v>
      </c>
      <c r="J63" s="15">
        <v>2135549</v>
      </c>
      <c r="K63" s="12">
        <v>0.1125</v>
      </c>
      <c r="L63" s="26">
        <v>1.05</v>
      </c>
      <c r="M63" s="16">
        <v>9781156</v>
      </c>
      <c r="N63" s="16">
        <v>8357417</v>
      </c>
      <c r="O63" s="16">
        <v>483055690</v>
      </c>
      <c r="P63" s="16">
        <v>406839008</v>
      </c>
    </row>
    <row r="64" spans="2:16">
      <c r="B64" s="17">
        <v>56</v>
      </c>
      <c r="C64" s="18">
        <v>799217</v>
      </c>
      <c r="D64" s="20">
        <v>1973268</v>
      </c>
      <c r="E64" s="18">
        <v>2296727</v>
      </c>
      <c r="F64" s="20">
        <v>5.2</v>
      </c>
      <c r="G64" s="20">
        <v>12984736</v>
      </c>
      <c r="H64" s="20">
        <v>7327788</v>
      </c>
      <c r="I64" s="18">
        <v>252640</v>
      </c>
      <c r="J64" s="18">
        <v>2044087</v>
      </c>
      <c r="K64" s="19">
        <v>0.11</v>
      </c>
      <c r="L64" s="17">
        <v>1</v>
      </c>
      <c r="M64" s="20">
        <v>9301055</v>
      </c>
      <c r="N64" s="20">
        <v>7934929</v>
      </c>
      <c r="O64" s="20">
        <v>492356746</v>
      </c>
      <c r="P64" s="20">
        <v>414773936</v>
      </c>
    </row>
    <row r="65" spans="2:16">
      <c r="B65">
        <v>57</v>
      </c>
      <c r="C65" s="15">
        <v>759207</v>
      </c>
      <c r="D65" s="16">
        <v>1874481</v>
      </c>
      <c r="E65" s="15">
        <v>2186964</v>
      </c>
      <c r="F65" s="13">
        <v>5.18</v>
      </c>
      <c r="G65" s="16">
        <v>12310172</v>
      </c>
      <c r="H65" s="16">
        <v>6948739</v>
      </c>
      <c r="I65" s="15">
        <v>235099</v>
      </c>
      <c r="J65" s="15">
        <v>1951865</v>
      </c>
      <c r="K65" s="12">
        <v>0.1075</v>
      </c>
      <c r="L65" s="26">
        <v>0.95</v>
      </c>
      <c r="M65" s="16">
        <v>8823220</v>
      </c>
      <c r="N65" s="16">
        <v>7514434</v>
      </c>
      <c r="O65" s="16">
        <v>501179966</v>
      </c>
      <c r="P65" s="16">
        <v>422288370</v>
      </c>
    </row>
    <row r="66" spans="2:16">
      <c r="B66" s="17">
        <v>58</v>
      </c>
      <c r="C66" s="18">
        <v>759161</v>
      </c>
      <c r="D66" s="20">
        <v>1874368</v>
      </c>
      <c r="E66" s="18">
        <v>2189153</v>
      </c>
      <c r="F66" s="20">
        <v>5.17</v>
      </c>
      <c r="G66" s="20">
        <v>12268614</v>
      </c>
      <c r="H66" s="20">
        <v>6926910</v>
      </c>
      <c r="I66" s="18">
        <v>229861</v>
      </c>
      <c r="J66" s="18">
        <v>1959292</v>
      </c>
      <c r="K66" s="19">
        <v>0.105</v>
      </c>
      <c r="L66" s="17">
        <v>0.95</v>
      </c>
      <c r="M66" s="20">
        <v>8801277</v>
      </c>
      <c r="N66" s="20">
        <v>7495124</v>
      </c>
      <c r="O66" s="20">
        <v>509981244</v>
      </c>
      <c r="P66" s="20">
        <v>429783494</v>
      </c>
    </row>
    <row r="67" spans="2:16">
      <c r="B67">
        <v>59</v>
      </c>
      <c r="C67" s="15">
        <v>759119</v>
      </c>
      <c r="D67" s="16">
        <v>1874264</v>
      </c>
      <c r="E67" s="15">
        <v>2191335</v>
      </c>
      <c r="F67" s="13">
        <v>5.16</v>
      </c>
      <c r="G67" s="16">
        <v>12227114</v>
      </c>
      <c r="H67" s="16">
        <v>6905101</v>
      </c>
      <c r="I67" s="15">
        <v>224612</v>
      </c>
      <c r="J67" s="15">
        <v>1966723</v>
      </c>
      <c r="K67" s="12">
        <v>0.1025</v>
      </c>
      <c r="L67" s="26">
        <v>0.95</v>
      </c>
      <c r="M67" s="16">
        <v>8779365</v>
      </c>
      <c r="N67" s="16">
        <v>7475841</v>
      </c>
      <c r="O67" s="16">
        <v>518760608</v>
      </c>
      <c r="P67" s="16">
        <v>437259335</v>
      </c>
    </row>
    <row r="68" spans="2:16">
      <c r="B68" s="17">
        <v>60</v>
      </c>
      <c r="C68" s="18">
        <v>799031</v>
      </c>
      <c r="D68" s="20">
        <v>1972808</v>
      </c>
      <c r="E68" s="18">
        <v>2305929</v>
      </c>
      <c r="F68" s="20">
        <v>5.14</v>
      </c>
      <c r="G68" s="20">
        <v>12810178</v>
      </c>
      <c r="H68" s="20">
        <v>7236079</v>
      </c>
      <c r="I68" s="18">
        <v>230593</v>
      </c>
      <c r="J68" s="18">
        <v>2075336</v>
      </c>
      <c r="K68" s="19">
        <v>0.1</v>
      </c>
      <c r="L68" s="17">
        <v>1</v>
      </c>
      <c r="M68" s="20">
        <v>9208887</v>
      </c>
      <c r="N68" s="20">
        <v>7853820</v>
      </c>
      <c r="O68" s="20">
        <v>527969495</v>
      </c>
      <c r="P68" s="20">
        <v>445113156</v>
      </c>
    </row>
  </sheetData>
  <mergeCells count="11">
    <mergeCell ref="B2:M2"/>
    <mergeCell ref="B4:C4"/>
    <mergeCell ref="B5:C5"/>
    <mergeCell ref="D4:E4"/>
    <mergeCell ref="D5:E5"/>
    <mergeCell ref="F4:G4"/>
    <mergeCell ref="F5:G5"/>
    <mergeCell ref="H4:I4"/>
    <mergeCell ref="H5:I5"/>
    <mergeCell ref="J4:K4"/>
    <mergeCell ref="J5:K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366F1"/>
  </sheetPr>
  <dimension ref="B2:E17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5" width="22.7109375" customWidth="1"/>
  </cols>
  <sheetData>
    <row r="2" spans="2:5">
      <c r="B2" s="1" t="s">
        <v>162</v>
      </c>
      <c r="C2" s="1"/>
      <c r="D2" s="1"/>
      <c r="E2" s="1"/>
    </row>
    <row r="4" spans="2:5">
      <c r="B4" s="3" t="s">
        <v>163</v>
      </c>
      <c r="C4" s="3"/>
      <c r="D4" s="3"/>
      <c r="E4" s="3"/>
    </row>
    <row r="5" spans="2:5">
      <c r="C5" s="10" t="s">
        <v>68</v>
      </c>
      <c r="D5" s="25" t="s">
        <v>69</v>
      </c>
      <c r="E5" s="10" t="s">
        <v>70</v>
      </c>
    </row>
    <row r="6" spans="2:5">
      <c r="B6" s="4" t="s">
        <v>142</v>
      </c>
      <c r="C6" s="16">
        <v>15996303</v>
      </c>
      <c r="D6" s="16">
        <v>39715677</v>
      </c>
      <c r="E6" s="16">
        <v>79290399</v>
      </c>
    </row>
    <row r="7" spans="2:5">
      <c r="B7" s="4" t="s">
        <v>164</v>
      </c>
      <c r="C7" s="16">
        <v>334142170</v>
      </c>
      <c r="D7" s="16">
        <v>527969495</v>
      </c>
      <c r="E7" s="16">
        <v>712834365</v>
      </c>
    </row>
    <row r="8" spans="2:5">
      <c r="B8" s="4" t="s">
        <v>165</v>
      </c>
      <c r="C8" s="16">
        <v>218040747</v>
      </c>
      <c r="D8" s="16">
        <v>407706706</v>
      </c>
      <c r="E8" s="16">
        <v>589450553</v>
      </c>
    </row>
    <row r="9" spans="2:5">
      <c r="B9" s="4" t="s">
        <v>166</v>
      </c>
      <c r="C9" s="16">
        <v>116101423</v>
      </c>
      <c r="D9" s="16">
        <v>120262789</v>
      </c>
      <c r="E9" s="16">
        <v>123383813</v>
      </c>
    </row>
    <row r="10" spans="2:5">
      <c r="B10" s="4" t="s">
        <v>144</v>
      </c>
      <c r="C10" s="16">
        <v>282345110</v>
      </c>
      <c r="D10" s="16">
        <v>445113156</v>
      </c>
      <c r="E10" s="16">
        <v>598044242</v>
      </c>
    </row>
    <row r="11" spans="2:5">
      <c r="B11" s="4" t="s">
        <v>167</v>
      </c>
      <c r="C11" s="12">
        <v>0.4759121156776943</v>
      </c>
      <c r="D11" s="12">
        <v>0.6739879077755397</v>
      </c>
      <c r="E11" s="12">
        <v>0.7606800668006904</v>
      </c>
    </row>
    <row r="12" spans="2:5">
      <c r="B12" s="4" t="s">
        <v>168</v>
      </c>
      <c r="C12" s="12">
        <v>0.6156920824992982</v>
      </c>
      <c r="D12" s="12">
        <v>0.7319379453501687</v>
      </c>
      <c r="E12" s="12">
        <v>0.7733928036110551</v>
      </c>
    </row>
    <row r="13" spans="2:5">
      <c r="B13" s="4" t="s">
        <v>169</v>
      </c>
      <c r="C13" s="12">
        <v>0.17</v>
      </c>
      <c r="D13" s="12">
        <v>0.22</v>
      </c>
      <c r="E13" s="12">
        <v>0.32</v>
      </c>
    </row>
    <row r="14" spans="2:5">
      <c r="B14" s="4" t="s">
        <v>145</v>
      </c>
      <c r="C14" s="12">
        <v>0.5010028863558533</v>
      </c>
      <c r="D14" s="12">
        <v>0.5010028863558533</v>
      </c>
      <c r="E14" s="12">
        <v>0.5010028863558533</v>
      </c>
    </row>
    <row r="15" spans="2:5">
      <c r="B15" s="4" t="s">
        <v>170</v>
      </c>
      <c r="C15" s="12">
        <v>0.07504697028914474</v>
      </c>
      <c r="D15" s="12">
        <v>0.04921944524678067</v>
      </c>
      <c r="E15" s="12">
        <v>0.03039200718336591</v>
      </c>
    </row>
    <row r="16" spans="2:5">
      <c r="B16" s="4" t="s">
        <v>171</v>
      </c>
      <c r="C16" s="12">
        <v>0.356</v>
      </c>
      <c r="D16" s="12">
        <v>0.356</v>
      </c>
      <c r="E16" s="12">
        <v>0.356</v>
      </c>
    </row>
    <row r="17" spans="2:5">
      <c r="B17" s="4" t="s">
        <v>172</v>
      </c>
      <c r="C17" s="16">
        <v>11700000</v>
      </c>
      <c r="D17" s="16">
        <v>19500000</v>
      </c>
      <c r="E17" s="16">
        <v>29250000</v>
      </c>
    </row>
  </sheetData>
  <mergeCells count="2">
    <mergeCell ref="B2:E2"/>
    <mergeCell ref="B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366F1"/>
  </sheetPr>
  <dimension ref="B2:E55"/>
  <sheetViews>
    <sheetView showGridLines="0" workbookViewId="0"/>
  </sheetViews>
  <sheetFormatPr defaultRowHeight="15"/>
  <cols>
    <col min="1" max="1" width="3.7109375" customWidth="1"/>
    <col min="2" max="2" width="38.7109375" customWidth="1"/>
    <col min="3" max="3" width="28.7109375" customWidth="1"/>
    <col min="4" max="4" width="52.7109375" customWidth="1"/>
    <col min="5" max="5" width="42.7109375" customWidth="1"/>
  </cols>
  <sheetData>
    <row r="2" spans="2:5">
      <c r="B2" s="1" t="s">
        <v>173</v>
      </c>
      <c r="C2" s="1"/>
      <c r="D2" s="1"/>
      <c r="E2" s="1"/>
    </row>
    <row r="3" spans="2:5">
      <c r="B3" s="2" t="s">
        <v>174</v>
      </c>
      <c r="C3" s="2"/>
      <c r="D3" s="2"/>
      <c r="E3" s="2"/>
    </row>
    <row r="5" spans="2:5">
      <c r="B5" s="4" t="s">
        <v>175</v>
      </c>
      <c r="C5" s="27" t="s">
        <v>176</v>
      </c>
      <c r="D5" s="11" t="s">
        <v>177</v>
      </c>
    </row>
    <row r="6" spans="2:5">
      <c r="C6" s="28" t="s">
        <v>178</v>
      </c>
      <c r="D6" s="11" t="s">
        <v>179</v>
      </c>
    </row>
    <row r="7" spans="2:5">
      <c r="C7" s="29" t="s">
        <v>180</v>
      </c>
      <c r="D7" s="11" t="s">
        <v>181</v>
      </c>
    </row>
    <row r="8" spans="2:5">
      <c r="C8" s="30" t="s">
        <v>182</v>
      </c>
      <c r="D8" s="11" t="s">
        <v>183</v>
      </c>
    </row>
    <row r="10" spans="2:5">
      <c r="B10" s="3" t="s">
        <v>184</v>
      </c>
      <c r="C10" s="3"/>
      <c r="D10" s="3"/>
      <c r="E10" s="3"/>
    </row>
    <row r="11" spans="2:5">
      <c r="B11" s="10" t="s">
        <v>185</v>
      </c>
      <c r="C11" s="10" t="s">
        <v>186</v>
      </c>
      <c r="D11" s="10" t="s">
        <v>187</v>
      </c>
      <c r="E11" s="10" t="s">
        <v>188</v>
      </c>
    </row>
    <row r="12" spans="2:5">
      <c r="B12" s="4" t="s">
        <v>15</v>
      </c>
      <c r="C12" s="27" t="s">
        <v>189</v>
      </c>
      <c r="D12" s="11" t="s">
        <v>190</v>
      </c>
      <c r="E12" s="27" t="s">
        <v>176</v>
      </c>
    </row>
    <row r="13" spans="2:5">
      <c r="B13" s="4" t="s">
        <v>84</v>
      </c>
      <c r="C13" s="27" t="s">
        <v>191</v>
      </c>
      <c r="D13" s="11" t="s">
        <v>192</v>
      </c>
      <c r="E13" s="27" t="s">
        <v>176</v>
      </c>
    </row>
    <row r="14" spans="2:5">
      <c r="B14" s="4" t="s">
        <v>193</v>
      </c>
      <c r="C14" s="27" t="s">
        <v>194</v>
      </c>
      <c r="D14" s="11" t="s">
        <v>195</v>
      </c>
      <c r="E14" s="27" t="s">
        <v>176</v>
      </c>
    </row>
    <row r="15" spans="2:5">
      <c r="B15" s="4" t="s">
        <v>196</v>
      </c>
      <c r="C15" s="27" t="s">
        <v>197</v>
      </c>
      <c r="D15" s="11" t="s">
        <v>198</v>
      </c>
      <c r="E15" s="27" t="s">
        <v>176</v>
      </c>
    </row>
    <row r="16" spans="2:5">
      <c r="B16" s="4" t="s">
        <v>199</v>
      </c>
      <c r="C16" s="27" t="s">
        <v>200</v>
      </c>
      <c r="D16" s="11" t="s">
        <v>201</v>
      </c>
      <c r="E16" s="27" t="s">
        <v>176</v>
      </c>
    </row>
    <row r="17" spans="2:5">
      <c r="B17" s="4" t="s">
        <v>202</v>
      </c>
      <c r="C17" s="27" t="s">
        <v>203</v>
      </c>
      <c r="D17" s="11" t="s">
        <v>204</v>
      </c>
      <c r="E17" s="27" t="s">
        <v>176</v>
      </c>
    </row>
    <row r="18" spans="2:5">
      <c r="B18" s="4" t="s">
        <v>205</v>
      </c>
      <c r="C18" s="27" t="s">
        <v>206</v>
      </c>
      <c r="D18" s="11" t="s">
        <v>207</v>
      </c>
      <c r="E18" s="27" t="s">
        <v>176</v>
      </c>
    </row>
    <row r="19" spans="2:5">
      <c r="B19" s="4" t="s">
        <v>208</v>
      </c>
      <c r="C19" s="27" t="s">
        <v>209</v>
      </c>
      <c r="D19" s="11" t="s">
        <v>210</v>
      </c>
      <c r="E19" s="27" t="s">
        <v>176</v>
      </c>
    </row>
    <row r="20" spans="2:5">
      <c r="B20" s="4" t="s">
        <v>211</v>
      </c>
      <c r="C20" s="27" t="s">
        <v>212</v>
      </c>
      <c r="D20" s="11" t="s">
        <v>213</v>
      </c>
      <c r="E20" s="27" t="s">
        <v>176</v>
      </c>
    </row>
    <row r="21" spans="2:5">
      <c r="B21" s="4" t="s">
        <v>214</v>
      </c>
      <c r="C21" s="27" t="s">
        <v>215</v>
      </c>
      <c r="D21" s="11" t="s">
        <v>216</v>
      </c>
      <c r="E21" s="27" t="s">
        <v>176</v>
      </c>
    </row>
    <row r="22" spans="2:5">
      <c r="B22" s="4" t="s">
        <v>217</v>
      </c>
      <c r="C22" s="27" t="s">
        <v>218</v>
      </c>
      <c r="D22" s="11" t="s">
        <v>219</v>
      </c>
      <c r="E22" s="27" t="s">
        <v>176</v>
      </c>
    </row>
    <row r="23" spans="2:5">
      <c r="B23" s="4" t="s">
        <v>220</v>
      </c>
      <c r="C23" s="27" t="s">
        <v>221</v>
      </c>
      <c r="D23" s="11" t="s">
        <v>222</v>
      </c>
      <c r="E23" s="27" t="s">
        <v>176</v>
      </c>
    </row>
    <row r="24" spans="2:5">
      <c r="B24" s="4" t="s">
        <v>223</v>
      </c>
      <c r="C24" s="27" t="s">
        <v>224</v>
      </c>
      <c r="D24" s="11" t="s">
        <v>225</v>
      </c>
      <c r="E24" s="27" t="s">
        <v>176</v>
      </c>
    </row>
    <row r="26" spans="2:5">
      <c r="B26" s="3" t="s">
        <v>226</v>
      </c>
      <c r="C26" s="3"/>
      <c r="D26" s="3"/>
      <c r="E26" s="3"/>
    </row>
    <row r="27" spans="2:5">
      <c r="B27" s="10" t="s">
        <v>67</v>
      </c>
      <c r="C27" s="10" t="s">
        <v>227</v>
      </c>
      <c r="D27" s="10" t="s">
        <v>228</v>
      </c>
      <c r="E27" s="10" t="s">
        <v>188</v>
      </c>
    </row>
    <row r="28" spans="2:5">
      <c r="B28" s="4" t="s">
        <v>229</v>
      </c>
      <c r="C28" s="28" t="s">
        <v>230</v>
      </c>
      <c r="D28" s="11" t="s">
        <v>231</v>
      </c>
      <c r="E28" s="28" t="s">
        <v>178</v>
      </c>
    </row>
    <row r="29" spans="2:5">
      <c r="B29" s="4" t="s">
        <v>232</v>
      </c>
      <c r="C29" s="28" t="s">
        <v>233</v>
      </c>
      <c r="D29" s="11" t="s">
        <v>37</v>
      </c>
      <c r="E29" s="28" t="s">
        <v>178</v>
      </c>
    </row>
    <row r="30" spans="2:5">
      <c r="B30" s="4" t="s">
        <v>234</v>
      </c>
      <c r="C30" s="28" t="s">
        <v>235</v>
      </c>
      <c r="D30" s="11" t="s">
        <v>43</v>
      </c>
      <c r="E30" s="28" t="s">
        <v>178</v>
      </c>
    </row>
    <row r="31" spans="2:5">
      <c r="B31" s="4" t="s">
        <v>74</v>
      </c>
      <c r="C31" s="28" t="s">
        <v>236</v>
      </c>
      <c r="D31" s="11" t="s">
        <v>31</v>
      </c>
      <c r="E31" s="28" t="s">
        <v>178</v>
      </c>
    </row>
    <row r="32" spans="2:5">
      <c r="B32" s="4" t="s">
        <v>237</v>
      </c>
      <c r="C32" s="28" t="s">
        <v>238</v>
      </c>
      <c r="D32" s="11" t="s">
        <v>239</v>
      </c>
      <c r="E32" s="28" t="s">
        <v>178</v>
      </c>
    </row>
    <row r="33" spans="2:5">
      <c r="B33" s="4" t="s">
        <v>240</v>
      </c>
      <c r="C33" s="28" t="s">
        <v>241</v>
      </c>
      <c r="D33" s="11" t="s">
        <v>242</v>
      </c>
      <c r="E33" s="28" t="s">
        <v>178</v>
      </c>
    </row>
    <row r="34" spans="2:5">
      <c r="B34" s="4" t="s">
        <v>243</v>
      </c>
      <c r="C34" s="28" t="s">
        <v>244</v>
      </c>
      <c r="D34" s="11" t="s">
        <v>245</v>
      </c>
      <c r="E34" s="28" t="s">
        <v>178</v>
      </c>
    </row>
    <row r="36" spans="2:5">
      <c r="B36" s="3" t="s">
        <v>246</v>
      </c>
      <c r="C36" s="3"/>
      <c r="D36" s="3"/>
      <c r="E36" s="3"/>
    </row>
    <row r="37" spans="2:5">
      <c r="B37" s="10" t="s">
        <v>247</v>
      </c>
      <c r="C37" s="10" t="s">
        <v>248</v>
      </c>
      <c r="D37" s="10" t="s">
        <v>249</v>
      </c>
      <c r="E37" s="10" t="s">
        <v>188</v>
      </c>
    </row>
    <row r="38" spans="2:5" ht="35" customHeight="1">
      <c r="B38" s="4" t="s">
        <v>250</v>
      </c>
      <c r="C38" s="29" t="s">
        <v>251</v>
      </c>
      <c r="D38" s="11" t="s">
        <v>252</v>
      </c>
      <c r="E38" s="29" t="s">
        <v>180</v>
      </c>
    </row>
    <row r="39" spans="2:5" ht="35" customHeight="1">
      <c r="B39" s="4" t="s">
        <v>253</v>
      </c>
      <c r="C39" s="29" t="s">
        <v>254</v>
      </c>
      <c r="D39" s="11" t="s">
        <v>255</v>
      </c>
      <c r="E39" s="29" t="s">
        <v>180</v>
      </c>
    </row>
    <row r="40" spans="2:5" ht="35" customHeight="1">
      <c r="B40" s="4" t="s">
        <v>256</v>
      </c>
      <c r="C40" s="29" t="s">
        <v>257</v>
      </c>
      <c r="D40" s="11" t="s">
        <v>258</v>
      </c>
      <c r="E40" s="29" t="s">
        <v>180</v>
      </c>
    </row>
    <row r="41" spans="2:5" ht="35" customHeight="1">
      <c r="B41" s="4" t="s">
        <v>259</v>
      </c>
      <c r="C41" s="29" t="s">
        <v>260</v>
      </c>
      <c r="D41" s="11" t="s">
        <v>261</v>
      </c>
      <c r="E41" s="29" t="s">
        <v>180</v>
      </c>
    </row>
    <row r="42" spans="2:5" ht="35" customHeight="1">
      <c r="B42" s="4" t="s">
        <v>262</v>
      </c>
      <c r="C42" s="29" t="s">
        <v>263</v>
      </c>
      <c r="D42" s="11" t="s">
        <v>264</v>
      </c>
      <c r="E42" s="29" t="s">
        <v>180</v>
      </c>
    </row>
    <row r="43" spans="2:5" ht="35" customHeight="1">
      <c r="B43" s="4" t="s">
        <v>265</v>
      </c>
      <c r="C43" s="29" t="s">
        <v>266</v>
      </c>
      <c r="D43" s="11" t="s">
        <v>267</v>
      </c>
      <c r="E43" s="29" t="s">
        <v>180</v>
      </c>
    </row>
    <row r="45" spans="2:5">
      <c r="B45" s="3" t="s">
        <v>268</v>
      </c>
      <c r="C45" s="3"/>
      <c r="D45" s="3"/>
      <c r="E45" s="3"/>
    </row>
    <row r="46" spans="2:5">
      <c r="B46" s="10" t="s">
        <v>269</v>
      </c>
      <c r="C46" s="10" t="s">
        <v>270</v>
      </c>
      <c r="D46" s="10" t="s">
        <v>271</v>
      </c>
      <c r="E46" s="10" t="s">
        <v>188</v>
      </c>
    </row>
    <row r="47" spans="2:5">
      <c r="B47" s="4" t="s">
        <v>272</v>
      </c>
      <c r="C47" s="30" t="s">
        <v>273</v>
      </c>
      <c r="D47" s="11" t="s">
        <v>274</v>
      </c>
      <c r="E47" s="30" t="s">
        <v>182</v>
      </c>
    </row>
    <row r="48" spans="2:5">
      <c r="B48" s="4" t="s">
        <v>275</v>
      </c>
      <c r="C48" s="30" t="s">
        <v>276</v>
      </c>
      <c r="D48" s="11" t="s">
        <v>277</v>
      </c>
      <c r="E48" s="30" t="s">
        <v>182</v>
      </c>
    </row>
    <row r="49" spans="2:5">
      <c r="B49" s="4" t="s">
        <v>278</v>
      </c>
      <c r="C49" s="30" t="s">
        <v>279</v>
      </c>
      <c r="D49" s="11" t="s">
        <v>280</v>
      </c>
      <c r="E49" s="30" t="s">
        <v>182</v>
      </c>
    </row>
    <row r="50" spans="2:5">
      <c r="B50" s="4" t="s">
        <v>281</v>
      </c>
      <c r="C50" s="30" t="s">
        <v>282</v>
      </c>
      <c r="D50" s="11" t="s">
        <v>283</v>
      </c>
      <c r="E50" s="30" t="s">
        <v>182</v>
      </c>
    </row>
    <row r="51" spans="2:5">
      <c r="B51" s="4" t="s">
        <v>284</v>
      </c>
      <c r="C51" s="30" t="s">
        <v>285</v>
      </c>
      <c r="D51" s="11" t="s">
        <v>286</v>
      </c>
      <c r="E51" s="30" t="s">
        <v>182</v>
      </c>
    </row>
    <row r="52" spans="2:5">
      <c r="B52" s="4" t="s">
        <v>287</v>
      </c>
      <c r="C52" s="30" t="s">
        <v>288</v>
      </c>
      <c r="D52" s="11" t="s">
        <v>289</v>
      </c>
      <c r="E52" s="30" t="s">
        <v>182</v>
      </c>
    </row>
    <row r="55" spans="2:5">
      <c r="B55" s="6" t="s">
        <v>290</v>
      </c>
      <c r="C55" s="6"/>
      <c r="D55" s="6"/>
      <c r="E55" s="6"/>
    </row>
  </sheetData>
  <mergeCells count="7">
    <mergeCell ref="B2:E2"/>
    <mergeCell ref="B3:E3"/>
    <mergeCell ref="B10:E10"/>
    <mergeCell ref="B26:E26"/>
    <mergeCell ref="B36:E36"/>
    <mergeCell ref="B45:E45"/>
    <mergeCell ref="B55:E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Marktdaten</vt:lpstr>
      <vt:lpstr>Apothekenverteilung</vt:lpstr>
      <vt:lpstr>Forecast</vt:lpstr>
      <vt:lpstr>Dashboard</vt:lpstr>
      <vt:lpstr>Methodik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2026-02-16T07:23:52Z</dcterms:created>
  <dcterms:modified xsi:type="dcterms:W3CDTF">2026-02-16T07:23:52Z</dcterms:modified>
</cp:coreProperties>
</file>